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1 BSS\JOB PMTS\TENDER SEWA ALAT - TENDER ULANG\WCC\Juli 2026\Final\"/>
    </mc:Choice>
  </mc:AlternateContent>
  <xr:revisionPtr revIDLastSave="0" documentId="13_ncr:1_{9C4D8753-4204-4956-B013-37808478DFAC}" xr6:coauthVersionLast="47" xr6:coauthVersionMax="47" xr10:uidLastSave="{00000000-0000-0000-0000-000000000000}"/>
  <bookViews>
    <workbookView xWindow="-98" yWindow="-98" windowWidth="19396" windowHeight="11475" tabRatio="719" firstSheet="1" activeTab="9" xr2:uid="{00000000-000D-0000-FFFF-FFFF00000000}"/>
  </bookViews>
  <sheets>
    <sheet name="MASTER" sheetId="1" r:id="rId1"/>
    <sheet name="Input" sheetId="2" r:id="rId2"/>
    <sheet name="WCC Form" sheetId="3" r:id="rId3"/>
    <sheet name="Performa Invoice" sheetId="4" r:id="rId4"/>
    <sheet name="Opname" sheetId="5" r:id="rId5"/>
    <sheet name="Rincian Pek" sheetId="6" r:id="rId6"/>
    <sheet name="TKDN" sheetId="7" r:id="rId7"/>
    <sheet name="BAMP" sheetId="8" r:id="rId8"/>
    <sheet name="BASP" sheetId="9" r:id="rId9"/>
    <sheet name="Heavy Equipment" sheetId="10" r:id="rId10"/>
    <sheet name="Rekap biaya" sheetId="11" r:id="rId11"/>
    <sheet name="Helper" sheetId="12" r:id="rId12"/>
  </sheets>
  <externalReferences>
    <externalReference r:id="rId13"/>
  </externalReferences>
  <definedNames>
    <definedName name="\C" localSheetId="1">#REF!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P" localSheetId="1">#REF!</definedName>
    <definedName name="\P">#REF!</definedName>
    <definedName name="\U" localSheetId="1">#REF!</definedName>
    <definedName name="\U">#REF!</definedName>
    <definedName name="_\b">#N/A</definedName>
    <definedName name="_\C" localSheetId="1">#REF!</definedName>
    <definedName name="_\C">#REF!</definedName>
    <definedName name="_\D" localSheetId="1">#REF!</definedName>
    <definedName name="_\D">#REF!</definedName>
    <definedName name="_\E" localSheetId="1">#REF!</definedName>
    <definedName name="_\E">#REF!</definedName>
    <definedName name="_\f">#N/A</definedName>
    <definedName name="_\g">#N/A</definedName>
    <definedName name="_\GD">#N/A</definedName>
    <definedName name="_\h">#N/A</definedName>
    <definedName name="_\i">#N/A</definedName>
    <definedName name="_\j">#N/A</definedName>
    <definedName name="_\k">#N/A</definedName>
    <definedName name="_\l">#N/A</definedName>
    <definedName name="_\m">#N/A</definedName>
    <definedName name="_\n">#N/A</definedName>
    <definedName name="_\o">#N/A</definedName>
    <definedName name="_\P" localSheetId="1">#REF!</definedName>
    <definedName name="_\P">#REF!</definedName>
    <definedName name="_\q">#N/A</definedName>
    <definedName name="_\s">#N/A</definedName>
    <definedName name="_\U" localSheetId="1">#REF!</definedName>
    <definedName name="_\U">#REF!</definedName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C" localSheetId="1" hidden="1">#REF!</definedName>
    <definedName name="__123Graph_C" hidden="1">#REF!</definedName>
    <definedName name="__123Graph_D" localSheetId="1" hidden="1">#REF!</definedName>
    <definedName name="__123Graph_D" localSheetId="10" hidden="1">#REF!</definedName>
    <definedName name="__123Graph_D" hidden="1">#REF!</definedName>
    <definedName name="__123Graph_E" localSheetId="1" hidden="1">#REF!</definedName>
    <definedName name="__123Graph_E" localSheetId="10" hidden="1">#REF!</definedName>
    <definedName name="__123Graph_E" hidden="1">#REF!</definedName>
    <definedName name="__123Graph_F" localSheetId="1" hidden="1">#REF!</definedName>
    <definedName name="__123Graph_F" hidden="1">#REF!</definedName>
    <definedName name="__123Graph_X" localSheetId="1" hidden="1">#REF!</definedName>
    <definedName name="__123Graph_X" localSheetId="10" hidden="1">#REF!</definedName>
    <definedName name="__123Graph_X" hidden="1">#REF!</definedName>
    <definedName name="_1__123Graph_ACHART_1" localSheetId="1" hidden="1">#REF!</definedName>
    <definedName name="_1__123Graph_ACHART_1" hidden="1">#REF!</definedName>
    <definedName name="_1F" localSheetId="1" hidden="1">#REF!</definedName>
    <definedName name="_1F" hidden="1">#REF!</definedName>
    <definedName name="_2.1" localSheetId="1">#REF!</definedName>
    <definedName name="_2.1">#REF!</definedName>
    <definedName name="_2.3.3" localSheetId="1">#REF!</definedName>
    <definedName name="_2.3.3">#REF!</definedName>
    <definedName name="_2__123Graph_ACHART_2" localSheetId="1" hidden="1">#REF!</definedName>
    <definedName name="_2__123Graph_ACHART_2" hidden="1">#REF!</definedName>
    <definedName name="_3.2.2" localSheetId="1">#REF!</definedName>
    <definedName name="_3.2.2">#REF!</definedName>
    <definedName name="_3.3" localSheetId="1">#REF!</definedName>
    <definedName name="_3.3">#REF!</definedName>
    <definedName name="_3__123Graph_BCHART_1" localSheetId="1" hidden="1">#REF!</definedName>
    <definedName name="_3__123Graph_BCHART_1" hidden="1">#REF!</definedName>
    <definedName name="_4__123Graph_BCHART_2" localSheetId="1" hidden="1">#REF!</definedName>
    <definedName name="_4__123Graph_BCHART_2" hidden="1">#REF!</definedName>
    <definedName name="_5.1" localSheetId="1">#REF!</definedName>
    <definedName name="_5.1">#REF!</definedName>
    <definedName name="_5.1.2" localSheetId="1">#REF!</definedName>
    <definedName name="_5.1.2">#REF!</definedName>
    <definedName name="_5__123Graph_CCHART_1" localSheetId="1" hidden="1">#REF!</definedName>
    <definedName name="_5__123Graph_CCHART_1" hidden="1">#REF!</definedName>
    <definedName name="_6.1.1" localSheetId="1">#REF!</definedName>
    <definedName name="_6.1.1">#REF!</definedName>
    <definedName name="_6__123Graph_CCHART_2" localSheetId="1" hidden="1">#REF!</definedName>
    <definedName name="_6__123Graph_CCHART_2" hidden="1">#REF!</definedName>
    <definedName name="_7.4" localSheetId="1">#REF!</definedName>
    <definedName name="_7.4">#REF!</definedName>
    <definedName name="_7__123Graph_DCHART_1" localSheetId="1" hidden="1">#REF!</definedName>
    <definedName name="_7__123Graph_DCHART_1" hidden="1">#REF!</definedName>
    <definedName name="_8.1.7" localSheetId="1">#REF!</definedName>
    <definedName name="_8.1.7">#REF!</definedName>
    <definedName name="_8__123Graph_DCHART_2" localSheetId="1" hidden="1">#REF!</definedName>
    <definedName name="_8__123Graph_DCHART_2" hidden="1">#REF!</definedName>
    <definedName name="_Dist_Bin" hidden="1">#REF!</definedName>
    <definedName name="_Dist_Values" hidden="1">#REF!</definedName>
    <definedName name="_edu2" localSheetId="9" hidden="1">{#N/A,#N/A,FALSE,"CALCOC"}</definedName>
    <definedName name="_edu2" localSheetId="1" hidden="1">{#N/A,#N/A,FALSE,"CALCOC"}</definedName>
    <definedName name="_edu2" localSheetId="0" hidden="1">{#N/A,#N/A,FALSE,"CALCOC"}</definedName>
    <definedName name="_edu2" localSheetId="10" hidden="1">{#N/A,#N/A,FALSE,"CALCOC"}</definedName>
    <definedName name="_edu2" localSheetId="5" hidden="1">{#N/A,#N/A,FALSE,"CALCOC"}</definedName>
    <definedName name="_edu2" hidden="1">{#N/A,#N/A,FALSE,"CALCOC"}</definedName>
    <definedName name="_Fill" localSheetId="10" hidden="1">#REF!</definedName>
    <definedName name="_Fill" hidden="1">#REF!</definedName>
    <definedName name="_Filled" hidden="1">#REF!</definedName>
    <definedName name="_Key1" localSheetId="10" hidden="1">#REF!</definedName>
    <definedName name="_Key1" hidden="1">#REF!</definedName>
    <definedName name="_Key2" localSheetId="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Int">1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ort" localSheetId="10" hidden="1">#REF!</definedName>
    <definedName name="_Sort" hidden="1">#REF!</definedName>
    <definedName name="_Table1_Out" localSheetId="1" hidden="1">#REF!</definedName>
    <definedName name="_Table1_Out" hidden="1">#REF!</definedName>
    <definedName name="A" localSheetId="1">#REF!</definedName>
    <definedName name="A">#REF!</definedName>
    <definedName name="a.a" localSheetId="9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localSheetId="1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localSheetId="1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localSheetId="5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_korek" localSheetId="1">#REF!</definedName>
    <definedName name="a_korek">#REF!</definedName>
    <definedName name="aA">NA()</definedName>
    <definedName name="AAAA" localSheetId="1">#REF!</definedName>
    <definedName name="AAAA">#REF!</definedName>
    <definedName name="ABB" hidden="1">#REF!</definedName>
    <definedName name="ABSOLUTE_TIMES" hidden="1">"TEST_ITEM"</definedName>
    <definedName name="Acbinder" localSheetId="1">#REF!</definedName>
    <definedName name="Acbinder">#REF!</definedName>
    <definedName name="AccessDatabase" hidden="1">"D:\nana\PA GREETINGS.mdb"</definedName>
    <definedName name="acian" localSheetId="1">#REF!</definedName>
    <definedName name="acian">#REF!</definedName>
    <definedName name="Activities_Group" localSheetId="1">#REF!</definedName>
    <definedName name="Activities_Group">#REF!</definedName>
    <definedName name="ACTUAL" localSheetId="1">#REF!</definedName>
    <definedName name="ACTUAL">#REF!</definedName>
    <definedName name="ActualBeyond" localSheetId="9">PeriodInActual*(#REF!&gt;0)</definedName>
    <definedName name="ActualBeyond" localSheetId="1">[0]!PeriodInActual*(#REF!&gt;0)</definedName>
    <definedName name="ActualBeyond" localSheetId="0">PeriodInActual*(#REF!&gt;0)</definedName>
    <definedName name="ActualBeyond" localSheetId="10">PeriodInActual*(#REF!&gt;0)</definedName>
    <definedName name="ActualBeyond" localSheetId="5">PeriodInActual*(#REF!&gt;0)</definedName>
    <definedName name="ActualBeyond">PeriodInActual*(#REF!&gt;0)</definedName>
    <definedName name="ACwvu.AG." localSheetId="1" hidden="1">#REF!</definedName>
    <definedName name="ACwvu.AG." hidden="1">#REF!</definedName>
    <definedName name="ACwvu.RESUME." localSheetId="1" hidden="1">#REF!</definedName>
    <definedName name="ACwvu.RESUME." hidden="1">#REF!</definedName>
    <definedName name="ACwvu.TCE_TL." localSheetId="1" hidden="1">#REF!</definedName>
    <definedName name="ACwvu.TCE_TL." hidden="1">#REF!</definedName>
    <definedName name="ACwvu.TCE_TY." localSheetId="1" hidden="1">#REF!</definedName>
    <definedName name="ACwvu.TCE_TY." hidden="1">#REF!</definedName>
    <definedName name="ACwvu.TOUT." localSheetId="1" hidden="1">#REF!</definedName>
    <definedName name="ACwvu.TOUT." hidden="1">#REF!</definedName>
    <definedName name="AddPage">#N/A</definedName>
    <definedName name="AddSheet">#N/A</definedName>
    <definedName name="al" localSheetId="1">#REF!</definedName>
    <definedName name="al">#REF!</definedName>
    <definedName name="alcanSWG24" localSheetId="1">#REF!</definedName>
    <definedName name="alcanSWG24">#REF!</definedName>
    <definedName name="Alox" localSheetId="1">#REF!</definedName>
    <definedName name="Alox">#REF!</definedName>
    <definedName name="ALT" localSheetId="1">#REF!</definedName>
    <definedName name="ALT">#REF!</definedName>
    <definedName name="Ariba_Contract_Hierarchy" localSheetId="1">#REF!</definedName>
    <definedName name="Ariba_Contract_Hierarchy">#REF!</definedName>
    <definedName name="Ariba_Spend_Channel" localSheetId="1">#REF!</definedName>
    <definedName name="Ariba_Spend_Channel">#REF!</definedName>
    <definedName name="AS">#REF!</definedName>
    <definedName name="As_">NA()</definedName>
    <definedName name="AS_CUT" localSheetId="1">#REF!</definedName>
    <definedName name="AS_CUT">#REF!</definedName>
    <definedName name="AS2DocOpenMode" hidden="1">"AS2DocumentBrowse"</definedName>
    <definedName name="ASDF" hidden="1">#REF!</definedName>
    <definedName name="Assessor" localSheetId="1">#REF!</definedName>
    <definedName name="Assessor">#REF!</definedName>
    <definedName name="atapbjls" localSheetId="1">#REF!</definedName>
    <definedName name="atapbjls">#REF!</definedName>
    <definedName name="atapsuoerdeckdt25" localSheetId="1">#REF!</definedName>
    <definedName name="atapsuoerdeckdt25">#REF!</definedName>
    <definedName name="ATB" localSheetId="1">#REF!</definedName>
    <definedName name="ATB">#REF!</definedName>
    <definedName name="attacment">#REF!</definedName>
    <definedName name="Audience" localSheetId="1">#REF!</definedName>
    <definedName name="Audience">#REF!</definedName>
    <definedName name="b">#REF!</definedName>
    <definedName name="B_UJI" localSheetId="1">#REF!</definedName>
    <definedName name="B_UJI">#REF!</definedName>
    <definedName name="bajaprofil" localSheetId="1">#REF!</definedName>
    <definedName name="bajaprofil">#REF!</definedName>
    <definedName name="BB" hidden="1">#REF!</definedName>
    <definedName name="BBBBB" hidden="1">#REF!</definedName>
    <definedName name="BBM" localSheetId="1">#REF!</definedName>
    <definedName name="BBM">#REF!</definedName>
    <definedName name="besibeton" localSheetId="1">#REF!</definedName>
    <definedName name="besibeton">#REF!</definedName>
    <definedName name="besibetonKS" localSheetId="1">#REF!</definedName>
    <definedName name="besibetonKS">#REF!</definedName>
    <definedName name="beton1.2.3" localSheetId="1">#REF!</definedName>
    <definedName name="beton1.2.3">#REF!</definedName>
    <definedName name="beton1.3.5" localSheetId="1">#REF!</definedName>
    <definedName name="beton1.3.5">#REF!</definedName>
    <definedName name="Bid_Bond_Validity" localSheetId="1">#REF!</definedName>
    <definedName name="Bid_Bond_Validity">#REF!</definedName>
    <definedName name="Bidder" localSheetId="9">[0]!Bidder</definedName>
    <definedName name="Bidder" localSheetId="1">'Heavy Equipment'!Bidder</definedName>
    <definedName name="Bidder" localSheetId="0">'Heavy Equipment'!Bidder</definedName>
    <definedName name="Bidder" localSheetId="10">'Heavy Equipment'!Bidder</definedName>
    <definedName name="Bidder" localSheetId="5">'Heavy Equipment'!Bidder</definedName>
    <definedName name="Bidder">'Heavy Equipment'!Bidder</definedName>
    <definedName name="Bidder_Qualification_Kualifikasi" localSheetId="1">#REF!</definedName>
    <definedName name="Bidder_Qualification_Kualifikasi">#REF!</definedName>
    <definedName name="BidSubmissionSystem_SistemPemasukanPenawaran" localSheetId="1">#REF!</definedName>
    <definedName name="BidSubmissionSystem_SistemPemasukanPenawaran">#REF!</definedName>
    <definedName name="BJ_Eff_Agr">#REF!</definedName>
    <definedName name="BJAspl">#REF!</definedName>
    <definedName name="bjbulk">#REF!</definedName>
    <definedName name="Blaster_Painter" localSheetId="1">#REF!</definedName>
    <definedName name="Blaster_Painter">#REF!</definedName>
    <definedName name="Blind_Flange_Weight" localSheetId="1">#REF!</definedName>
    <definedName name="Blind_Flange_Weight">#REF!</definedName>
    <definedName name="bmax">#REF!</definedName>
    <definedName name="BN" hidden="1">#REF!</definedName>
    <definedName name="bongkaranatap" localSheetId="1">#REF!</definedName>
    <definedName name="bongkaranatap">#REF!</definedName>
    <definedName name="bongkaranbata" localSheetId="1">#REF!</definedName>
    <definedName name="bongkaranbata">#REF!</definedName>
    <definedName name="bongkaranbeton" localSheetId="1">#REF!</definedName>
    <definedName name="bongkaranbeton">#REF!</definedName>
    <definedName name="BQ_1" localSheetId="1">#REF!</definedName>
    <definedName name="BQ_1">#REF!</definedName>
    <definedName name="Bsum" localSheetId="1">#REF!</definedName>
    <definedName name="Bsum">#REF!</definedName>
    <definedName name="bubunganseng" localSheetId="1">#REF!</definedName>
    <definedName name="bubunganseng">#REF!</definedName>
    <definedName name="bubungaqnalcan" localSheetId="1">#REF!</definedName>
    <definedName name="bubungaqnalcan">#REF!</definedName>
    <definedName name="BV">#REF!</definedName>
    <definedName name="C_kr" localSheetId="1">#REF!</definedName>
    <definedName name="C_kr">#REF!</definedName>
    <definedName name="Car_and_Transportation" localSheetId="5">#REF!</definedName>
    <definedName name="Car_and_Transportation">#REF!</definedName>
    <definedName name="catkilap" localSheetId="1">#REF!</definedName>
    <definedName name="catkilap">#REF!</definedName>
    <definedName name="catmelamic" localSheetId="1">#REF!</definedName>
    <definedName name="catmelamic">#REF!</definedName>
    <definedName name="catmeni" localSheetId="1">#REF!</definedName>
    <definedName name="catmeni">#REF!</definedName>
    <definedName name="catperak" localSheetId="1">#REF!</definedName>
    <definedName name="catperak">#REF!</definedName>
    <definedName name="cattembok" localSheetId="1">#REF!</definedName>
    <definedName name="cattembok">#REF!</definedName>
    <definedName name="cek">#REF!</definedName>
    <definedName name="cellg6">#REF!</definedName>
    <definedName name="CETAK">#N/A</definedName>
    <definedName name="Cf" localSheetId="1">#REF!</definedName>
    <definedName name="Cf">#REF!</definedName>
    <definedName name="chart" localSheetId="9" hidden="1">{#N/A,#N/A,FALSE,"PPA Outline";#N/A,#N/A,FALSE,"Graphs"}</definedName>
    <definedName name="chart" localSheetId="1" hidden="1">{#N/A,#N/A,FALSE,"PPA Outline";#N/A,#N/A,FALSE,"Graphs"}</definedName>
    <definedName name="chart" localSheetId="0" hidden="1">{#N/A,#N/A,FALSE,"PPA Outline";#N/A,#N/A,FALSE,"Graphs"}</definedName>
    <definedName name="chart" localSheetId="10" hidden="1">{#N/A,#N/A,FALSE,"PPA Outline";#N/A,#N/A,FALSE,"Graphs"}</definedName>
    <definedName name="chart" localSheetId="5" hidden="1">{#N/A,#N/A,FALSE,"PPA Outline";#N/A,#N/A,FALSE,"Graphs"}</definedName>
    <definedName name="chart" hidden="1">{#N/A,#N/A,FALSE,"PPA Outline";#N/A,#N/A,FALSE,"Graphs"}</definedName>
    <definedName name="Check" localSheetId="9">[0]!Check</definedName>
    <definedName name="Check" localSheetId="1">'Heavy Equipment'!Check</definedName>
    <definedName name="Check" localSheetId="0">'Heavy Equipment'!Check</definedName>
    <definedName name="Check" localSheetId="10">'Heavy Equipment'!Check</definedName>
    <definedName name="Check" localSheetId="5">'Heavy Equipment'!Check</definedName>
    <definedName name="Check">'Heavy Equipment'!Check</definedName>
    <definedName name="Checklist" localSheetId="1">#REF!</definedName>
    <definedName name="Checklist">#REF!</definedName>
    <definedName name="Chevron_address" localSheetId="1">#REF!</definedName>
    <definedName name="Chevron_address">#REF!</definedName>
    <definedName name="Chevron_Entity" localSheetId="1">#REF!</definedName>
    <definedName name="Chevron_Entity">#REF!</definedName>
    <definedName name="Chevron_Location" localSheetId="1">#REF!</definedName>
    <definedName name="Chevron_Location">#REF!</definedName>
    <definedName name="Classification" localSheetId="1">#REF!</definedName>
    <definedName name="Classification">#REF!</definedName>
    <definedName name="Classification_Golongan_Risiko" localSheetId="1">#REF!</definedName>
    <definedName name="Classification_Golongan_Risiko">#REF!</definedName>
    <definedName name="Classification_Golongan_Usaha" localSheetId="1">#REF!</definedName>
    <definedName name="Classification_Golongan_Usaha">#REF!</definedName>
    <definedName name="Closetjongkok" localSheetId="1">#REF!</definedName>
    <definedName name="Closetjongkok">#REF!</definedName>
    <definedName name="CodeRegular" localSheetId="1">#REF!</definedName>
    <definedName name="CodeRegular">#REF!</definedName>
    <definedName name="Compensation_Basis" localSheetId="1">#REF!</definedName>
    <definedName name="Compensation_Basis">#REF!</definedName>
    <definedName name="Compressor" localSheetId="1">#REF!</definedName>
    <definedName name="Compressor">#REF!</definedName>
    <definedName name="CONFIRM" localSheetId="1">#REF!</definedName>
    <definedName name="CONFIRM">#REF!</definedName>
    <definedName name="Consequence" localSheetId="1">#REF!:OFFSET(#REF!,COUNTA(#REF!),0)</definedName>
    <definedName name="Consequence">#REF!:OFFSET(#REF!,COUNTA(#REF!),0)</definedName>
    <definedName name="CONSUM" localSheetId="1">#REF!</definedName>
    <definedName name="CONSUM">#REF!</definedName>
    <definedName name="Contigency" localSheetId="1">#REF!</definedName>
    <definedName name="Contigency">#REF!</definedName>
    <definedName name="Contract_Model" localSheetId="1">#REF!</definedName>
    <definedName name="Contract_Model">#REF!</definedName>
    <definedName name="CONTRACTOR" localSheetId="1">#REF!</definedName>
    <definedName name="CONTRACTOR">#REF!</definedName>
    <definedName name="CostNature" localSheetId="1">#REF!</definedName>
    <definedName name="CostNature">#REF!</definedName>
    <definedName name="Covered_Rust_Area" localSheetId="1">#REF!</definedName>
    <definedName name="Covered_Rust_Area">#REF!</definedName>
    <definedName name="cranedays" localSheetId="1">#REF!</definedName>
    <definedName name="cranedays">#REF!</definedName>
    <definedName name="CUP_DIAMETER" localSheetId="1">#REF!</definedName>
    <definedName name="CUP_DIAMETER">#REF!</definedName>
    <definedName name="CUP_SCHEDULES" localSheetId="1">#REF!</definedName>
    <definedName name="CUP_SCHEDULES">#REF!</definedName>
    <definedName name="Cur" localSheetId="1">#REF!</definedName>
    <definedName name="Cur">#REF!</definedName>
    <definedName name="Currency" localSheetId="1">#REF!</definedName>
    <definedName name="Currency">#REF!</definedName>
    <definedName name="CV" hidden="1">#REF!</definedName>
    <definedName name="d">#REF!</definedName>
    <definedName name="D_ELBOW180" localSheetId="1">#REF!</definedName>
    <definedName name="D_ELBOW180">#REF!</definedName>
    <definedName name="D_ELBOW180S" localSheetId="1">#REF!</definedName>
    <definedName name="D_ELBOW180S">#REF!</definedName>
    <definedName name="D_ELBOW45" localSheetId="1">#REF!</definedName>
    <definedName name="D_ELBOW45">#REF!</definedName>
    <definedName name="D_ELBOW45S" localSheetId="1">#REF!</definedName>
    <definedName name="D_ELBOW45S">#REF!</definedName>
    <definedName name="D_ELBOW90" localSheetId="1">#REF!</definedName>
    <definedName name="D_ELBOW90">#REF!</definedName>
    <definedName name="D_ELBOW90S" localSheetId="1">#REF!</definedName>
    <definedName name="D_ELBOW90S">#REF!</definedName>
    <definedName name="d_Flange" localSheetId="1">#REF!</definedName>
    <definedName name="d_Flange">#REF!</definedName>
    <definedName name="D_REDUCER" localSheetId="1">#REF!</definedName>
    <definedName name="D_REDUCER">#REF!</definedName>
    <definedName name="D_TEES" localSheetId="1">#REF!</definedName>
    <definedName name="D_TEES">#REF!</definedName>
    <definedName name="data" localSheetId="1">#REF!</definedName>
    <definedName name="data">#REF!</definedName>
    <definedName name="daunpintupanel" localSheetId="1">#REF!</definedName>
    <definedName name="daunpintupanel">#REF!</definedName>
    <definedName name="DD">#REF!</definedName>
    <definedName name="ddddd" localSheetId="9" hidden="1">{#N/A,#N/A,FALSE,"CALCOC"}</definedName>
    <definedName name="ddddd" localSheetId="1" hidden="1">{#N/A,#N/A,FALSE,"CALCOC"}</definedName>
    <definedName name="ddddd" localSheetId="0" hidden="1">{#N/A,#N/A,FALSE,"CALCOC"}</definedName>
    <definedName name="ddddd" localSheetId="10" hidden="1">{#N/A,#N/A,FALSE,"CALCOC"}</definedName>
    <definedName name="ddddd" localSheetId="5" hidden="1">{#N/A,#N/A,FALSE,"CALCOC"}</definedName>
    <definedName name="ddddd" hidden="1">{#N/A,#N/A,FALSE,"CALCOC"}</definedName>
    <definedName name="DEFAULT_INTERVALS" hidden="1">"OVERALL REDUCTION,1s,5s,10s,30s,1m,2m,5m,10m,30m,1H,2H,4H,8H,1D,7D,30D"</definedName>
    <definedName name="Df" localSheetId="1">#REF!</definedName>
    <definedName name="Df">#REF!</definedName>
    <definedName name="DFCS" hidden="1">#REF!</definedName>
    <definedName name="dindingbata1.3" localSheetId="1">#REF!</definedName>
    <definedName name="dindingbata1.3">#REF!</definedName>
    <definedName name="dindingbata1.4" localSheetId="1">#REF!</definedName>
    <definedName name="dindingbata1.4">#REF!</definedName>
    <definedName name="dindingbataco1.4" localSheetId="1">#REF!</definedName>
    <definedName name="dindingbataco1.4">#REF!</definedName>
    <definedName name="dindingdobleteakwood" localSheetId="1">#REF!</definedName>
    <definedName name="dindingdobleteakwood">#REF!</definedName>
    <definedName name="DLR_180" localSheetId="1">#REF!</definedName>
    <definedName name="DLR_180">#REF!</definedName>
    <definedName name="DLR_45" localSheetId="1">#REF!</definedName>
    <definedName name="DLR_45">#REF!</definedName>
    <definedName name="DLR_90" localSheetId="1">#REF!</definedName>
    <definedName name="DLR_90">#REF!</definedName>
    <definedName name="Document_Collection" localSheetId="1">#REF!</definedName>
    <definedName name="Document_Collection">#REF!</definedName>
    <definedName name="dollar" localSheetId="1">#REF!</definedName>
    <definedName name="dollar">#REF!</definedName>
    <definedName name="dozadays" localSheetId="1">#REF!</definedName>
    <definedName name="dozadays">#REF!</definedName>
    <definedName name="Dry_Blast" localSheetId="1">#REF!</definedName>
    <definedName name="Dry_Blast">#REF!</definedName>
    <definedName name="DryBlast_equip" localSheetId="1">#REF!</definedName>
    <definedName name="DryBlast_equip">#REF!</definedName>
    <definedName name="DS" hidden="1">#REF!</definedName>
    <definedName name="dsa" localSheetId="1">#REF!</definedName>
    <definedName name="dsa">#REF!</definedName>
    <definedName name="DSAW">#REF!</definedName>
    <definedName name="DSD" localSheetId="0" hidden="1">{#N/A,#N/A,FALSE,"CALCOC"}</definedName>
    <definedName name="DSD" hidden="1">{#N/A,#N/A,FALSE,"CALCOC"}</definedName>
    <definedName name="DSHP" localSheetId="1">#REF!</definedName>
    <definedName name="DSHP">#REF!</definedName>
    <definedName name="DSR_180" localSheetId="1">#REF!</definedName>
    <definedName name="DSR_180">#REF!</definedName>
    <definedName name="DSR_45" localSheetId="1">#REF!</definedName>
    <definedName name="DSR_45">#REF!</definedName>
    <definedName name="DSR_90" localSheetId="1">#REF!</definedName>
    <definedName name="DSR_90">#REF!</definedName>
    <definedName name="Duration" localSheetId="1">#REF!</definedName>
    <definedName name="Duration">#REF!</definedName>
    <definedName name="dw" hidden="1">#REF!</definedName>
    <definedName name="e" localSheetId="1">#REF!</definedName>
    <definedName name="e">#REF!</definedName>
    <definedName name="edu" localSheetId="9" hidden="1">{#N/A,#N/A,FALSE,"CALCOC"}</definedName>
    <definedName name="edu" localSheetId="1" hidden="1">{#N/A,#N/A,FALSE,"CALCOC"}</definedName>
    <definedName name="edu" localSheetId="0" hidden="1">{#N/A,#N/A,FALSE,"CALCOC"}</definedName>
    <definedName name="edu" localSheetId="10" hidden="1">{#N/A,#N/A,FALSE,"CALCOC"}</definedName>
    <definedName name="edu" localSheetId="5" hidden="1">{#N/A,#N/A,FALSE,"CALCOC"}</definedName>
    <definedName name="edu" hidden="1">{#N/A,#N/A,FALSE,"CALCOC"}</definedName>
    <definedName name="ee" localSheetId="9" hidden="1">{#N/A,#N/A,FALSE,"CALCOC"}</definedName>
    <definedName name="ee" localSheetId="1" hidden="1">{#N/A,#N/A,FALSE,"CALCOC"}</definedName>
    <definedName name="ee" localSheetId="0" hidden="1">{#N/A,#N/A,FALSE,"CALCOC"}</definedName>
    <definedName name="ee" localSheetId="10" hidden="1">{#N/A,#N/A,FALSE,"CALCOC"}</definedName>
    <definedName name="ee" localSheetId="5" hidden="1">{#N/A,#N/A,FALSE,"CALCOC"}</definedName>
    <definedName name="ee" hidden="1">{#N/A,#N/A,FALSE,"CALCOC"}</definedName>
    <definedName name="eee" localSheetId="9" hidden="1">{#N/A,#N/A,FALSE,"PPA Outline";#N/A,#N/A,FALSE,"Graphs"}</definedName>
    <definedName name="eee" localSheetId="1" hidden="1">{#N/A,#N/A,FALSE,"PPA Outline";#N/A,#N/A,FALSE,"Graphs"}</definedName>
    <definedName name="eee" localSheetId="0" hidden="1">{#N/A,#N/A,FALSE,"PPA Outline";#N/A,#N/A,FALSE,"Graphs"}</definedName>
    <definedName name="eee" localSheetId="10" hidden="1">{#N/A,#N/A,FALSE,"PPA Outline";#N/A,#N/A,FALSE,"Graphs"}</definedName>
    <definedName name="eee" localSheetId="5" hidden="1">{#N/A,#N/A,FALSE,"PPA Outline";#N/A,#N/A,FALSE,"Graphs"}</definedName>
    <definedName name="eee" hidden="1">{#N/A,#N/A,FALSE,"PPA Outline";#N/A,#N/A,FALSE,"Graphs"}</definedName>
    <definedName name="EMPLOYEE" localSheetId="1">#REF!</definedName>
    <definedName name="EMPLOYEE">#REF!</definedName>
    <definedName name="EngTechSuppt_Page2" localSheetId="1">#REF!</definedName>
    <definedName name="EngTechSuppt_Page2">#REF!</definedName>
    <definedName name="EQUIP" localSheetId="1">#REF!</definedName>
    <definedName name="EQUIP">#REF!</definedName>
    <definedName name="EQUIPMENT" localSheetId="1">#REF!</definedName>
    <definedName name="equipment">#REF!</definedName>
    <definedName name="Escalation_level" localSheetId="1">#REF!:OFFSET(#REF!,COUNTA(#REF!),0)</definedName>
    <definedName name="Escalation_level">#REF!:OFFSET(#REF!,COUNTA(#REF!),0)</definedName>
    <definedName name="EST">#N/A</definedName>
    <definedName name="ESTATUS" localSheetId="1">#REF!</definedName>
    <definedName name="ESTATUS">#REF!</definedName>
    <definedName name="EV__LASTREFTIME__" hidden="1">39492.5277777778</definedName>
    <definedName name="excavatordays" localSheetId="1">#REF!</definedName>
    <definedName name="excavatordays">#REF!</definedName>
    <definedName name="ext" localSheetId="1">#REF!</definedName>
    <definedName name="ext">#REF!</definedName>
    <definedName name="ExtractData" localSheetId="1">#REF!</definedName>
    <definedName name="ExtractData">#REF!</definedName>
    <definedName name="f">#REF!</definedName>
    <definedName name="FD" hidden="1">#REF!</definedName>
    <definedName name="fda" localSheetId="1">#REF!</definedName>
    <definedName name="fda">#REF!</definedName>
    <definedName name="FDCR" hidden="1">#REF!</definedName>
    <definedName name="FG" hidden="1">#REF!</definedName>
    <definedName name="firejeepdays" localSheetId="1">#REF!</definedName>
    <definedName name="firejeepdays">#REF!</definedName>
    <definedName name="FLANGE_RATING" localSheetId="1">#REF!</definedName>
    <definedName name="FLANGE_RATING">#REF!</definedName>
    <definedName name="FNL" localSheetId="1">#REF!</definedName>
    <definedName name="FNL">#REF!</definedName>
    <definedName name="FOR" localSheetId="1">#REF!</definedName>
    <definedName name="for">#REF!</definedName>
    <definedName name="forkliftdays" localSheetId="1">#REF!</definedName>
    <definedName name="forkliftdays">#REF!</definedName>
    <definedName name="fs">NA()</definedName>
    <definedName name="Fuel" localSheetId="1">#REF!</definedName>
    <definedName name="Fuel">#REF!</definedName>
    <definedName name="g">#REF!</definedName>
    <definedName name="GA">#N/A</definedName>
    <definedName name="GA_408">"GA-408"</definedName>
    <definedName name="galiantanahbiasa" localSheetId="1">#REF!</definedName>
    <definedName name="galiantanahbiasa">#REF!</definedName>
    <definedName name="Galv0.75in" localSheetId="1">#REF!</definedName>
    <definedName name="Galv0.75in">#REF!</definedName>
    <definedName name="Galv1.5in" localSheetId="1">#REF!</definedName>
    <definedName name="Galv1.5in">#REF!</definedName>
    <definedName name="Galv1in" localSheetId="1">#REF!</definedName>
    <definedName name="Galv1in">#REF!</definedName>
    <definedName name="Galv2in" localSheetId="1">#REF!</definedName>
    <definedName name="Galv2in">#REF!</definedName>
    <definedName name="Galv3in" localSheetId="1">#REF!</definedName>
    <definedName name="Galv3in">#REF!</definedName>
    <definedName name="Garnet" localSheetId="1">#REF!</definedName>
    <definedName name="Garnet">#REF!</definedName>
    <definedName name="GB">#N/A</definedName>
    <definedName name="GC">#N/A</definedName>
    <definedName name="GD">#N/A</definedName>
    <definedName name="gelam8.10" localSheetId="1">#REF!</definedName>
    <definedName name="gelam8.10">#REF!</definedName>
    <definedName name="Generic_type" localSheetId="1">#REF!</definedName>
    <definedName name="Generic_type">#REF!</definedName>
    <definedName name="Gf" localSheetId="1">#REF!</definedName>
    <definedName name="Gf">#REF!</definedName>
    <definedName name="GFG" hidden="1">#REF!</definedName>
    <definedName name="grap" localSheetId="1">#REF!</definedName>
    <definedName name="grap">#REF!</definedName>
    <definedName name="Graph" localSheetId="9" hidden="1">{#N/A,#N/A,FALSE,"PPA Outline";#N/A,#N/A,FALSE,"Graphs"}</definedName>
    <definedName name="Graph" localSheetId="1" hidden="1">{#N/A,#N/A,FALSE,"PPA Outline";#N/A,#N/A,FALSE,"Graphs"}</definedName>
    <definedName name="Graph" localSheetId="0" hidden="1">{#N/A,#N/A,FALSE,"PPA Outline";#N/A,#N/A,FALSE,"Graphs"}</definedName>
    <definedName name="Graph" localSheetId="10" hidden="1">{#N/A,#N/A,FALSE,"PPA Outline";#N/A,#N/A,FALSE,"Graphs"}</definedName>
    <definedName name="Graph" localSheetId="5" hidden="1">{#N/A,#N/A,FALSE,"PPA Outline";#N/A,#N/A,FALSE,"Graphs"}</definedName>
    <definedName name="Graph" hidden="1">{#N/A,#N/A,FALSE,"PPA Outline";#N/A,#N/A,FALSE,"Graphs"}</definedName>
    <definedName name="GRATING_SIZE" localSheetId="1">#REF!</definedName>
    <definedName name="GRATING_SIZE">#REF!</definedName>
    <definedName name="GRATING_WEIGHT" localSheetId="1">#REF!</definedName>
    <definedName name="GRATING_WEIGHT">#REF!</definedName>
    <definedName name="h">#REF!</definedName>
    <definedName name="H_BLIND_FLANGE" localSheetId="1">#REF!</definedName>
    <definedName name="H_BLIND_FLANGE">#REF!</definedName>
    <definedName name="H_LAPPED_FLANGE" localSheetId="1">#REF!</definedName>
    <definedName name="H_LAPPED_FLANGE">#REF!</definedName>
    <definedName name="H_ORIFICE_FLANGE" localSheetId="1">#REF!</definedName>
    <definedName name="H_ORIFICE_FLANGE">#REF!</definedName>
    <definedName name="H_RTJ" localSheetId="1">#REF!</definedName>
    <definedName name="H_RTJ">#REF!</definedName>
    <definedName name="H_SO_FLANGE" localSheetId="1">#REF!</definedName>
    <definedName name="H_SO_FLANGE">#REF!</definedName>
    <definedName name="H_SW_Coupling" localSheetId="1">#REF!</definedName>
    <definedName name="H_SW_Coupling">#REF!</definedName>
    <definedName name="H_SW_FLANGE" localSheetId="1">#REF!</definedName>
    <definedName name="H_SW_FLANGE">#REF!</definedName>
    <definedName name="H_THRD_FULLCPLG" localSheetId="1">#REF!</definedName>
    <definedName name="H_THRD_FULLCPLG">#REF!</definedName>
    <definedName name="H_THREADED_FLANGE" localSheetId="1">#REF!</definedName>
    <definedName name="H_THREADED_FLANGE">#REF!</definedName>
    <definedName name="H_Union" localSheetId="1">#REF!</definedName>
    <definedName name="H_Union">#REF!</definedName>
    <definedName name="H_WN_FLANGE" localSheetId="1">#REF!</definedName>
    <definedName name="H_WN_FLANGE">#REF!</definedName>
    <definedName name="hamparanspli2.3" localSheetId="1">#REF!</definedName>
    <definedName name="hamparanspli2.3">#REF!</definedName>
    <definedName name="Hex_Plug_OD" localSheetId="1">#REF!</definedName>
    <definedName name="Hex_Plug_OD">#REF!</definedName>
    <definedName name="HexPlug_Rate" localSheetId="1">#REF!</definedName>
    <definedName name="HexPlug_Rate">#REF!</definedName>
    <definedName name="hibuoydays" localSheetId="1">#REF!</definedName>
    <definedName name="hibuoydays">#REF!</definedName>
    <definedName name="HighLvl_Page1" localSheetId="1">#REF!</definedName>
    <definedName name="HighLvl_Page1">#REF!</definedName>
    <definedName name="HRD_Page10" localSheetId="1">#REF!</definedName>
    <definedName name="HRD_Page10">#REF!</definedName>
    <definedName name="HSD" localSheetId="1">#REF!</definedName>
    <definedName name="HSD">#REF!</definedName>
    <definedName name="HTML_CodePage" hidden="1">949</definedName>
    <definedName name="HTML_Control" localSheetId="9" hidden="1">{"'장비'!$A$3:$M$12"}</definedName>
    <definedName name="HTML_Control" localSheetId="1" hidden="1">{"'장비'!$A$3:$M$12"}</definedName>
    <definedName name="HTML_Control" localSheetId="0" hidden="1">{"'장비'!$A$3:$M$12"}</definedName>
    <definedName name="HTML_Control" localSheetId="10" hidden="1">{"'장비'!$A$3:$M$12"}</definedName>
    <definedName name="HTML_Control" localSheetId="5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inflation" localSheetId="1">#REF!</definedName>
    <definedName name="inflation">#REF!</definedName>
    <definedName name="Interface" localSheetId="9">[0]!Interface</definedName>
    <definedName name="Interface" localSheetId="1">'Heavy Equipment'!Interface</definedName>
    <definedName name="Interface" localSheetId="0">'Heavy Equipment'!Interface</definedName>
    <definedName name="Interface" localSheetId="10">'Heavy Equipment'!Interface</definedName>
    <definedName name="Interface" localSheetId="5">'Heavy Equipment'!Interface</definedName>
    <definedName name="Interface">'Heavy Equipment'!Interface</definedName>
    <definedName name="Invoice">#REF!</definedName>
    <definedName name="ISBL" localSheetId="9" hidden="1">{"'장비'!$A$3:$M$12"}</definedName>
    <definedName name="ISBL" localSheetId="1" hidden="1">{"'장비'!$A$3:$M$12"}</definedName>
    <definedName name="ISBL" localSheetId="0" hidden="1">{"'장비'!$A$3:$M$12"}</definedName>
    <definedName name="ISBL" localSheetId="10" hidden="1">{"'장비'!$A$3:$M$12"}</definedName>
    <definedName name="ISBL" localSheetId="5" hidden="1">{"'장비'!$A$3:$M$12"}</definedName>
    <definedName name="ISBL" hidden="1">{"'장비'!$A$3:$M$12"}</definedName>
    <definedName name="ITPMET" localSheetId="1">#REF!</definedName>
    <definedName name="ITPMET">#REF!</definedName>
    <definedName name="j">#REF!</definedName>
    <definedName name="JAMKER">#N/A</definedName>
    <definedName name="JAWAB">#N/A</definedName>
    <definedName name="jdlaluminiumryben" localSheetId="1">#REF!</definedName>
    <definedName name="jdlaluminiumryben">#REF!</definedName>
    <definedName name="JH" hidden="1">#REF!</definedName>
    <definedName name="julia" localSheetId="1">#REF!</definedName>
    <definedName name="julia">#REF!</definedName>
    <definedName name="kawatduri" localSheetId="1">#REF!</definedName>
    <definedName name="kawatduri">#REF!</definedName>
    <definedName name="kawatikat" localSheetId="1">#REF!</definedName>
    <definedName name="kawatikat">#REF!</definedName>
    <definedName name="kawatlas" localSheetId="1">#REF!</definedName>
    <definedName name="kawatlas">#REF!</definedName>
    <definedName name="kayuracuk" localSheetId="1">#REF!</definedName>
    <definedName name="kayuracuk">#REF!</definedName>
    <definedName name="keramik20.20" localSheetId="1">#REF!</definedName>
    <definedName name="keramik20.20">#REF!</definedName>
    <definedName name="keramik30.30" localSheetId="1">#REF!</definedName>
    <definedName name="keramik30.30">#REF!</definedName>
    <definedName name="keramik40.40" localSheetId="1">#REF!</definedName>
    <definedName name="keramik40.40">#REF!</definedName>
    <definedName name="KL" hidden="1">#REF!</definedName>
    <definedName name="KO">#REF!</definedName>
    <definedName name="kontr" localSheetId="1">#REF!</definedName>
    <definedName name="kontr">#REF!</definedName>
    <definedName name="KONTRAKTOR" localSheetId="1">#REF!</definedName>
    <definedName name="KONTRAKTOR">#REF!</definedName>
    <definedName name="kpltukang" localSheetId="1">#REF!</definedName>
    <definedName name="kpltukang">#REF!</definedName>
    <definedName name="kpltukanglas" localSheetId="1">#REF!</definedName>
    <definedName name="kpltukanglas">#REF!</definedName>
    <definedName name="kran0.5inkuninga" localSheetId="1">#REF!</definedName>
    <definedName name="kran0.5inkuninga">#REF!</definedName>
    <definedName name="kran2in" localSheetId="1">#REF!</definedName>
    <definedName name="kran2in">#REF!</definedName>
    <definedName name="kran3.4" localSheetId="1">#REF!</definedName>
    <definedName name="kran3.4">#REF!</definedName>
    <definedName name="KTR" localSheetId="1">#REF!</definedName>
    <definedName name="KTR">#REF!</definedName>
    <definedName name="kudakuda7m" localSheetId="1">#REF!</definedName>
    <definedName name="kudakuda7m">#REF!</definedName>
    <definedName name="kudakudalebih7m" localSheetId="1">#REF!</definedName>
    <definedName name="kudakudalebih7m">#REF!</definedName>
    <definedName name="kunciSES206" localSheetId="1">#REF!</definedName>
    <definedName name="kunciSES206">#REF!</definedName>
    <definedName name="KURS" localSheetId="1">#REF!</definedName>
    <definedName name="KURS">#REF!</definedName>
    <definedName name="lantaibata" localSheetId="1">#REF!</definedName>
    <definedName name="lantaibata">#REF!</definedName>
    <definedName name="Lap_Flange_Weight" localSheetId="1">#REF!</definedName>
    <definedName name="Lap_Flange_Weight">#REF!</definedName>
    <definedName name="lassambung" localSheetId="1">#REF!</definedName>
    <definedName name="lassambung">#REF!</definedName>
    <definedName name="leb">#N/A</definedName>
    <definedName name="lemb">#N/A</definedName>
    <definedName name="Lf" localSheetId="1">#REF!</definedName>
    <definedName name="Lf">#REF!</definedName>
    <definedName name="ligttruckdays" localSheetId="1">#REF!</definedName>
    <definedName name="ligttruckdays">#REF!</definedName>
    <definedName name="Likelihood" localSheetId="1">#REF!:OFFSET(#REF!,COUNTA(#REF!),0)</definedName>
    <definedName name="Likelihood">#REF!:OFFSET(#REF!,COUNTA(#REF!),0)</definedName>
    <definedName name="LK">#REF!</definedName>
    <definedName name="LLL" hidden="1">#REF!</definedName>
    <definedName name="lowbeddays" localSheetId="1">#REF!</definedName>
    <definedName name="lowbeddays">#REF!</definedName>
    <definedName name="lstPlans" localSheetId="1">#REF!,#REF!,#REF!,#REF!,#REF!,#REF!,#REF!,#REF!,#REF!,#REF!,#REF!,#REF!,#REF!</definedName>
    <definedName name="lstPlans">#REF!,#REF!,#REF!,#REF!,#REF!,#REF!,#REF!,#REF!,#REF!,#REF!,#REF!,#REF!,#REF!</definedName>
    <definedName name="lstPrjSortItems" localSheetId="1">#REF!:INDEX(#REF!,#REF!)</definedName>
    <definedName name="lstPrjSortItems">#REF!:INDEX(#REF!,#REF!)</definedName>
    <definedName name="lstSortedPrjIDs" localSheetId="1">#REF!:INDEX(#REF!,#REF!)</definedName>
    <definedName name="lstSortedPrjIDs">#REF!:INDEX(#REF!,#REF!)</definedName>
    <definedName name="m">#REF!</definedName>
    <definedName name="M_Tee_SW" localSheetId="1">#REF!</definedName>
    <definedName name="M_Tee_SW">#REF!</definedName>
    <definedName name="M_Tee_Threaded" localSheetId="1">#REF!</definedName>
    <definedName name="M_Tee_Threaded">#REF!</definedName>
    <definedName name="Macro1" localSheetId="1">#REF!</definedName>
    <definedName name="Macro1">#REF!</definedName>
    <definedName name="Macro2" localSheetId="1">#REF!</definedName>
    <definedName name="Macro2">#REF!</definedName>
    <definedName name="Macro3" localSheetId="1">#REF!</definedName>
    <definedName name="Macro3">#REF!</definedName>
    <definedName name="MAKRO">#N/A</definedName>
    <definedName name="Man" localSheetId="9">[0]!Man</definedName>
    <definedName name="Man" localSheetId="1">'Heavy Equipment'!Man</definedName>
    <definedName name="Man" localSheetId="0">'Heavy Equipment'!Man</definedName>
    <definedName name="Man" localSheetId="10">'Heavy Equipment'!Man</definedName>
    <definedName name="Man" localSheetId="5">'Heavy Equipment'!Man</definedName>
    <definedName name="Man">'Heavy Equipment'!Man</definedName>
    <definedName name="mandor" localSheetId="1">#REF!</definedName>
    <definedName name="mandor">#REF!</definedName>
    <definedName name="MANPOW" localSheetId="1">#REF!</definedName>
    <definedName name="MANPOW">#REF!</definedName>
    <definedName name="margin" localSheetId="1">#REF!</definedName>
    <definedName name="margin">#REF!</definedName>
    <definedName name="MATERIAL_PIPE" localSheetId="1">#REF!</definedName>
    <definedName name="MATERIAL_PIPE">#REF!</definedName>
    <definedName name="meratakantanah" localSheetId="1">#REF!</definedName>
    <definedName name="meratakantanah">#REF!</definedName>
    <definedName name="methods" localSheetId="1">#REF!</definedName>
    <definedName name="methods">#REF!</definedName>
    <definedName name="MH_Factor" localSheetId="1">#REF!</definedName>
    <definedName name="MH_Factor">#REF!</definedName>
    <definedName name="mm" localSheetId="9" hidden="1">{#N/A,#N/A,FALSE,"PPA Outline";#N/A,#N/A,FALSE,"Graphs"}</definedName>
    <definedName name="mm" localSheetId="1" hidden="1">{#N/A,#N/A,FALSE,"PPA Outline";#N/A,#N/A,FALSE,"Graphs"}</definedName>
    <definedName name="mm" localSheetId="0" hidden="1">{#N/A,#N/A,FALSE,"PPA Outline";#N/A,#N/A,FALSE,"Graphs"}</definedName>
    <definedName name="mm" localSheetId="10" hidden="1">{#N/A,#N/A,FALSE,"PPA Outline";#N/A,#N/A,FALSE,"Graphs"}</definedName>
    <definedName name="mm" localSheetId="5" hidden="1">{#N/A,#N/A,FALSE,"PPA Outline";#N/A,#N/A,FALSE,"Graphs"}</definedName>
    <definedName name="mm" hidden="1">{#N/A,#N/A,FALSE,"PPA Outline";#N/A,#N/A,FALSE,"Graphs"}</definedName>
    <definedName name="MonthNum" localSheetId="1">#REF!</definedName>
    <definedName name="MonthNum">#REF!</definedName>
    <definedName name="motorgraderdays" localSheetId="1">#REF!</definedName>
    <definedName name="motorgraderdays">#REF!</definedName>
    <definedName name="MSTATUS" localSheetId="1">#REF!</definedName>
    <definedName name="MSTATUS">#REF!</definedName>
    <definedName name="n">#REF!</definedName>
    <definedName name="new">#REF!</definedName>
    <definedName name="ngselpintu" localSheetId="1">#REF!</definedName>
    <definedName name="ngselpintu">#REF!</definedName>
    <definedName name="No_Submission" localSheetId="1">#REF!</definedName>
    <definedName name="No_Submission">#REF!</definedName>
    <definedName name="normal" localSheetId="1" hidden="1">#REF!</definedName>
    <definedName name="normal" hidden="1">#REF!</definedName>
    <definedName name="NPS_RTJ" localSheetId="1">#REF!</definedName>
    <definedName name="NPS_RTJ">#REF!</definedName>
    <definedName name="OD_ELBOW_SW" localSheetId="1">#REF!</definedName>
    <definedName name="OD_ELBOW_SW">#REF!</definedName>
    <definedName name="OD_ELBOW_THREADED" localSheetId="1">#REF!</definedName>
    <definedName name="OD_ELBOW_THREADED">#REF!</definedName>
    <definedName name="OD_Flange" localSheetId="1">#REF!</definedName>
    <definedName name="OD_Flange">#REF!</definedName>
    <definedName name="OD_RTJ" localSheetId="1">#REF!</definedName>
    <definedName name="OD_RTJ">#REF!</definedName>
    <definedName name="OD_SW_Coupling" localSheetId="1">#REF!</definedName>
    <definedName name="OD_SW_Coupling">#REF!</definedName>
    <definedName name="OD_Tee_SW" localSheetId="1">#REF!</definedName>
    <definedName name="OD_Tee_SW">#REF!</definedName>
    <definedName name="OD_Tee_Threaded" localSheetId="1">#REF!</definedName>
    <definedName name="OD_Tee_Threaded">#REF!</definedName>
    <definedName name="OD_Thrd_FullCplg" localSheetId="1">#REF!</definedName>
    <definedName name="OD_Thrd_FullCplg">#REF!</definedName>
    <definedName name="OD_Union" localSheetId="1">#REF!</definedName>
    <definedName name="OD_Union">#REF!</definedName>
    <definedName name="ODH" hidden="1">#REF!</definedName>
    <definedName name="OH" localSheetId="1">#REF!</definedName>
    <definedName name="OH">#REF!</definedName>
    <definedName name="old">#REF!</definedName>
    <definedName name="OP">#REF!</definedName>
    <definedName name="Operator" localSheetId="1">#REF!</definedName>
    <definedName name="Operator">#REF!</definedName>
    <definedName name="Orifice_Flange_Weight" localSheetId="1">#REF!</definedName>
    <definedName name="Orifice_Flange_Weight">#REF!</definedName>
    <definedName name="orig" localSheetId="1">#REF!</definedName>
    <definedName name="orig">#REF!</definedName>
    <definedName name="ORPL">"""ORPL"""</definedName>
    <definedName name="OSBL" localSheetId="9" hidden="1">{"'장비'!$A$3:$M$12"}</definedName>
    <definedName name="OSBL" localSheetId="1" hidden="1">{"'장비'!$A$3:$M$12"}</definedName>
    <definedName name="OSBL" localSheetId="0" hidden="1">{"'장비'!$A$3:$M$12"}</definedName>
    <definedName name="OSBL" localSheetId="10" hidden="1">{"'장비'!$A$3:$M$12"}</definedName>
    <definedName name="OSBL" localSheetId="5" hidden="1">{"'장비'!$A$3:$M$12"}</definedName>
    <definedName name="OSBL" hidden="1">{"'장비'!$A$3:$M$12"}</definedName>
    <definedName name="OSBL1" localSheetId="9" hidden="1">{"'장비'!$A$3:$M$12"}</definedName>
    <definedName name="OSBL1" localSheetId="1" hidden="1">{"'장비'!$A$3:$M$12"}</definedName>
    <definedName name="OSBL1" localSheetId="0" hidden="1">{"'장비'!$A$3:$M$12"}</definedName>
    <definedName name="OSBL1" localSheetId="10" hidden="1">{"'장비'!$A$3:$M$12"}</definedName>
    <definedName name="OSBL1" localSheetId="5" hidden="1">{"'장비'!$A$3:$M$12"}</definedName>
    <definedName name="OSBL1" hidden="1">{"'장비'!$A$3:$M$12"}</definedName>
    <definedName name="OT" localSheetId="1">#REF!</definedName>
    <definedName name="OT">#REF!</definedName>
    <definedName name="p">#REF!</definedName>
    <definedName name="Package" localSheetId="1">#REF!</definedName>
    <definedName name="Package">#REF!</definedName>
    <definedName name="pagarBRC" localSheetId="1">#REF!</definedName>
    <definedName name="pagarBRC">#REF!</definedName>
    <definedName name="pagarcyclone" localSheetId="1">#REF!</definedName>
    <definedName name="pagarcyclone">#REF!</definedName>
    <definedName name="Paint_Equip" localSheetId="1">#REF!</definedName>
    <definedName name="Paint_Equip">#REF!</definedName>
    <definedName name="Painting" localSheetId="1">#REF!</definedName>
    <definedName name="Painting">#REF!</definedName>
    <definedName name="PAKUBIASA" localSheetId="1">#REF!</definedName>
    <definedName name="PAKUBIASA">#REF!</definedName>
    <definedName name="pekerja" localSheetId="1">#REF!</definedName>
    <definedName name="pekerja">#REF!</definedName>
    <definedName name="Pelelangan" localSheetId="1">#REF!</definedName>
    <definedName name="Pelelangan">#REF!</definedName>
    <definedName name="PercentComplete" localSheetId="9">PercentCompleteBeyond*PeriodInPlan</definedName>
    <definedName name="PercentComplete" localSheetId="1">[0]!PercentCompleteBeyond*[0]!PeriodInPlan</definedName>
    <definedName name="PercentComplete" localSheetId="0">PercentCompleteBeyond*PeriodInPlan</definedName>
    <definedName name="PercentComplete" localSheetId="10">PercentCompleteBeyond*PeriodInPlan</definedName>
    <definedName name="PercentComplete" localSheetId="5">PercentCompleteBeyond*PeriodInPlan</definedName>
    <definedName name="PercentComplete">PercentCompleteBeyond*PeriodInPlan</definedName>
    <definedName name="PercentCompleteBeyond" localSheetId="1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1">#REF!</definedName>
    <definedName name="period_selected">#REF!</definedName>
    <definedName name="PeriodInActual" localSheetId="1">#REF!=MEDIAN(#REF!,#REF!,#REF!+#REF!-1)</definedName>
    <definedName name="PeriodInActual">#REF!=MEDIAN(#REF!,#REF!,#REF!+#REF!-1)</definedName>
    <definedName name="PeriodInPlan" localSheetId="1">#REF!=MEDIAN(#REF!,#REF!,#REF!+#REF!-1)</definedName>
    <definedName name="PeriodInPlan">#REF!=MEDIAN(#REF!,#REF!,#REF!+#REF!-1)</definedName>
    <definedName name="Person" localSheetId="1">#REF!</definedName>
    <definedName name="Person">#REF!</definedName>
    <definedName name="Pf" localSheetId="1">#REF!</definedName>
    <definedName name="Pf">#REF!</definedName>
    <definedName name="pintucyclone" localSheetId="1">#REF!</definedName>
    <definedName name="pintucyclone">#REF!</definedName>
    <definedName name="pintudoublealuminium" localSheetId="1">#REF!</definedName>
    <definedName name="pintudoublealuminium">#REF!</definedName>
    <definedName name="pintufibergambar" localSheetId="1">#REF!</definedName>
    <definedName name="pintufibergambar">#REF!</definedName>
    <definedName name="pintufiberpolos" localSheetId="1">#REF!</definedName>
    <definedName name="pintufiberpolos">#REF!</definedName>
    <definedName name="PIP_Stage" localSheetId="1">#REF!:OFFSET(#REF!,COUNTA(#REF!),0)</definedName>
    <definedName name="PIP_Stage">#REF!:OFFSET(#REF!,COUNTA(#REF!),0)</definedName>
    <definedName name="Pipagalv1.5in" localSheetId="1">#REF!</definedName>
    <definedName name="Pipagalv1.5in">#REF!</definedName>
    <definedName name="PIPE_DIA" localSheetId="1">#REF!</definedName>
    <definedName name="PIPE_DIA">#REF!</definedName>
    <definedName name="PIPE_OD" localSheetId="1">#REF!</definedName>
    <definedName name="PIPE_OD">#REF!</definedName>
    <definedName name="PIPE_SCHEDULES" localSheetId="1">#REF!</definedName>
    <definedName name="PIPE_SCHEDULES">#REF!</definedName>
    <definedName name="PIPE_THICKNESS" localSheetId="1">#REF!</definedName>
    <definedName name="PIPE_THICKNESS">#REF!</definedName>
    <definedName name="pipefitter" localSheetId="1">#REF!</definedName>
    <definedName name="pipefitter">#REF!</definedName>
    <definedName name="Pj" localSheetId="1">#REF!</definedName>
    <definedName name="Pj">#REF!</definedName>
    <definedName name="PL">#REF!</definedName>
    <definedName name="plafonddanrangka" localSheetId="1">#REF!</definedName>
    <definedName name="plafonddanrangka">#REF!</definedName>
    <definedName name="plafondgypsum" localSheetId="1">#REF!</definedName>
    <definedName name="plafondgypsum">#REF!</definedName>
    <definedName name="PLAN" localSheetId="1">#REF!</definedName>
    <definedName name="PLAN">#REF!</definedName>
    <definedName name="PLAN5" localSheetId="9" hidden="1">{#N/A,#N/A,FALSE,"CALCOC"}</definedName>
    <definedName name="PLAN5" localSheetId="1" hidden="1">{#N/A,#N/A,FALSE,"CALCOC"}</definedName>
    <definedName name="PLAN5" localSheetId="0" hidden="1">{#N/A,#N/A,FALSE,"CALCOC"}</definedName>
    <definedName name="PLAN5" localSheetId="10" hidden="1">{#N/A,#N/A,FALSE,"CALCOC"}</definedName>
    <definedName name="PLAN5" localSheetId="5" hidden="1">{#N/A,#N/A,FALSE,"CALCOC"}</definedName>
    <definedName name="PLAN5" hidden="1">{#N/A,#N/A,FALSE,"CALCOC"}</definedName>
    <definedName name="PLANT" localSheetId="1">#REF!</definedName>
    <definedName name="PLANT">#REF!</definedName>
    <definedName name="PLATE_THICKNESS" localSheetId="1">#REF!</definedName>
    <definedName name="PLATE_THICKNESS">#REF!</definedName>
    <definedName name="plester1.3" localSheetId="1">#REF!</definedName>
    <definedName name="plester1.3">#REF!</definedName>
    <definedName name="plester1.4" localSheetId="1">#REF!</definedName>
    <definedName name="plester1.4">#REF!</definedName>
    <definedName name="plintkeramik10.30" localSheetId="1">#REF!</definedName>
    <definedName name="plintkeramik10.30">#REF!</definedName>
    <definedName name="pondasibata1.3" localSheetId="1">#REF!</definedName>
    <definedName name="pondasibata1.3">#REF!</definedName>
    <definedName name="pooooo" localSheetId="1">#REF!</definedName>
    <definedName name="pooooo">#REF!</definedName>
    <definedName name="POWER_USER_EXCEL_CHART_0A40C0D0_A636_482B_95B4_2097CFB7964E">#REF!</definedName>
    <definedName name="POWER_USER_EXCEL_CHART_32F03E3A_4C59_400D_84ED_07073E19FCCA">#REF!</definedName>
    <definedName name="POWER_USER_EXCEL_CHART_D4FB2F54_F8CF_487B_AEB4_88F0F2BAD087">#REF!</definedName>
    <definedName name="pp">#REF!</definedName>
    <definedName name="ppe" hidden="1">#REF!</definedName>
    <definedName name="Prebid" localSheetId="1">#REF!</definedName>
    <definedName name="Prebid">#REF!</definedName>
    <definedName name="Pressure" localSheetId="1">#REF!</definedName>
    <definedName name="Pressure">#REF!</definedName>
    <definedName name="price_perlitre" localSheetId="1">#REF!</definedName>
    <definedName name="price_perlitre">#REF!</definedName>
    <definedName name="PRINT_all" localSheetId="9">[0]!PRINT_all</definedName>
    <definedName name="PRINT_all" localSheetId="1">'Heavy Equipment'!PRINT_all</definedName>
    <definedName name="PRINT_all" localSheetId="0">'Heavy Equipment'!PRINT_all</definedName>
    <definedName name="PRINT_all" localSheetId="10">'Heavy Equipment'!PRINT_all</definedName>
    <definedName name="PRINT_all" localSheetId="5">'Heavy Equipment'!PRINT_all</definedName>
    <definedName name="PRINT_all">'Heavy Equipment'!PRINT_all</definedName>
    <definedName name="_xlnm.Print_Area" localSheetId="7">BAMP!$A$1:$H$48</definedName>
    <definedName name="_xlnm.Print_Area" localSheetId="8">BASP!$A$1:$H$48</definedName>
    <definedName name="_xlnm.Print_Area" localSheetId="9">'Heavy Equipment'!$B$2:$AW$34</definedName>
    <definedName name="_xlnm.Print_Area" localSheetId="4">Opname!$A$1:$O$31</definedName>
    <definedName name="_xlnm.Print_Area" localSheetId="3">'Performa Invoice'!$B$1:$K$31</definedName>
    <definedName name="_xlnm.Print_Area" localSheetId="10">'Rekap biaya'!$A$1:$Z$19</definedName>
    <definedName name="_xlnm.Print_Area" localSheetId="5">'Rincian Pek'!$A$1:$N$29</definedName>
    <definedName name="_xlnm.Print_Area" localSheetId="6">TKDN!$A$2:$I$49</definedName>
    <definedName name="_xlnm.Print_Area" localSheetId="2">'WCC Form'!$A$1:$J$50</definedName>
    <definedName name="Print_Area_MI">#REF!</definedName>
    <definedName name="_xlnm.Print_Titles" localSheetId="10">'Rekap biaya'!$1:$11</definedName>
    <definedName name="PROCESS_OWNER" localSheetId="1">#REF!</definedName>
    <definedName name="PROCESS_OWNER">#REF!</definedName>
    <definedName name="Procurement_AO" localSheetId="1">#REF!</definedName>
    <definedName name="Procurement_AO">#REF!</definedName>
    <definedName name="Produce_Page8" localSheetId="1">#REF!</definedName>
    <definedName name="Produce_Page8">#REF!</definedName>
    <definedName name="Product" localSheetId="1">#REF!</definedName>
    <definedName name="Product">#REF!</definedName>
    <definedName name="Profile_Size" localSheetId="1">#REF!</definedName>
    <definedName name="Profile_Size">#REF!</definedName>
    <definedName name="projectduration" localSheetId="1">#REF!</definedName>
    <definedName name="projectduration">#REF!</definedName>
    <definedName name="PROYEK" localSheetId="1">#REF!</definedName>
    <definedName name="PROYEK">#REF!</definedName>
    <definedName name="PsP" localSheetId="1">#REF!</definedName>
    <definedName name="PsP">#REF!</definedName>
    <definedName name="Psr" localSheetId="1">#REF!</definedName>
    <definedName name="Psr">#REF!</definedName>
    <definedName name="q" localSheetId="1">#REF!</definedName>
    <definedName name="q">#REF!</definedName>
    <definedName name="QQ">#REF!</definedName>
    <definedName name="QSWA">#REF!</definedName>
    <definedName name="qswqwq" localSheetId="1">#REF!</definedName>
    <definedName name="qswqwq">#REF!</definedName>
    <definedName name="QUALITY" localSheetId="9" hidden="1">{#N/A,#N/A,FALSE,"PPA Outline";#N/A,#N/A,FALSE,"Graphs"}</definedName>
    <definedName name="QUALITY" localSheetId="1" hidden="1">{#N/A,#N/A,FALSE,"PPA Outline";#N/A,#N/A,FALSE,"Graphs"}</definedName>
    <definedName name="QUALITY" localSheetId="0" hidden="1">{#N/A,#N/A,FALSE,"PPA Outline";#N/A,#N/A,FALSE,"Graphs"}</definedName>
    <definedName name="QUALITY" localSheetId="10" hidden="1">{#N/A,#N/A,FALSE,"PPA Outline";#N/A,#N/A,FALSE,"Graphs"}</definedName>
    <definedName name="QUALITY" localSheetId="5" hidden="1">{#N/A,#N/A,FALSE,"PPA Outline";#N/A,#N/A,FALSE,"Graphs"}</definedName>
    <definedName name="QUALITY" hidden="1">{#N/A,#N/A,FALSE,"PPA Outline";#N/A,#N/A,FALSE,"Graphs"}</definedName>
    <definedName name="R_45D_SW" localSheetId="1">#REF!</definedName>
    <definedName name="R_45D_SW">#REF!</definedName>
    <definedName name="R_45D_THRD" localSheetId="1">#REF!</definedName>
    <definedName name="R_45D_THRD">#REF!</definedName>
    <definedName name="R_90D_SW" localSheetId="1">#REF!</definedName>
    <definedName name="R_90D_SW">#REF!</definedName>
    <definedName name="R_90D_THRD" localSheetId="1">#REF!</definedName>
    <definedName name="R_90D_THRD">#REF!</definedName>
    <definedName name="R_DLR180" localSheetId="1">#REF!</definedName>
    <definedName name="R_DLR180">#REF!</definedName>
    <definedName name="R_DLR45" localSheetId="1">#REF!</definedName>
    <definedName name="R_DLR45">#REF!</definedName>
    <definedName name="R_DLR90" localSheetId="1">#REF!</definedName>
    <definedName name="R_DLR90">#REF!</definedName>
    <definedName name="R_DSR180" localSheetId="1">#REF!</definedName>
    <definedName name="R_DSR180">#REF!</definedName>
    <definedName name="R_DSR45" localSheetId="1">#REF!</definedName>
    <definedName name="R_DSR45">#REF!</definedName>
    <definedName name="R_DSR90" localSheetId="1">#REF!</definedName>
    <definedName name="R_DSR90">#REF!</definedName>
    <definedName name="RAMSES" localSheetId="1" hidden="1">#REF!</definedName>
    <definedName name="RAMSES" hidden="1">#REF!</definedName>
    <definedName name="Rate_45D_SW" localSheetId="1">#REF!</definedName>
    <definedName name="Rate_45D_SW">#REF!</definedName>
    <definedName name="Rate_45D_Threaded" localSheetId="1">#REF!</definedName>
    <definedName name="Rate_45D_Threaded">#REF!</definedName>
    <definedName name="Rate_90D_SW" localSheetId="1">#REF!</definedName>
    <definedName name="Rate_90D_SW">#REF!</definedName>
    <definedName name="Rate_90D_Threaded" localSheetId="1">#REF!</definedName>
    <definedName name="Rate_90D_Threaded">#REF!</definedName>
    <definedName name="Rate_BlindFlange" localSheetId="1">#REF!</definedName>
    <definedName name="Rate_BlindFlange">#REF!</definedName>
    <definedName name="Rate_LapFlange" localSheetId="1">#REF!</definedName>
    <definedName name="Rate_LapFlange">#REF!</definedName>
    <definedName name="RATE_OLET" localSheetId="1">#REF!</definedName>
    <definedName name="RATE_OLET">#REF!</definedName>
    <definedName name="Rate_OrificeFlange" localSheetId="1">#REF!</definedName>
    <definedName name="Rate_OrificeFlange">#REF!</definedName>
    <definedName name="Rate_RTJ" localSheetId="1">#REF!</definedName>
    <definedName name="Rate_RTJ">#REF!</definedName>
    <definedName name="Rate_SO" localSheetId="1">#REF!</definedName>
    <definedName name="Rate_SO">#REF!</definedName>
    <definedName name="Rate_SW" localSheetId="1">#REF!</definedName>
    <definedName name="Rate_SW">#REF!</definedName>
    <definedName name="Rate_Tee_SW" localSheetId="1">#REF!</definedName>
    <definedName name="Rate_Tee_SW">#REF!</definedName>
    <definedName name="Rate_Tee_Threaded" localSheetId="1">#REF!</definedName>
    <definedName name="Rate_Tee_Threaded">#REF!</definedName>
    <definedName name="Rate_Thrd_FullCplg" localSheetId="1">#REF!</definedName>
    <definedName name="Rate_Thrd_FullCplg">#REF!</definedName>
    <definedName name="Rate_ThreadedFlange" localSheetId="1">#REF!</definedName>
    <definedName name="Rate_ThreadedFlange">#REF!</definedName>
    <definedName name="Rate_WN" localSheetId="1">#REF!</definedName>
    <definedName name="Rate_WN">#REF!</definedName>
    <definedName name="RE" hidden="1">#REF!</definedName>
    <definedName name="readymix175" localSheetId="1">#REF!</definedName>
    <definedName name="readymix175">#REF!</definedName>
    <definedName name="readymix225" localSheetId="1">#REF!</definedName>
    <definedName name="readymix225">#REF!</definedName>
    <definedName name="Rebid_Doc_Coll" localSheetId="1">#REF!</definedName>
    <definedName name="Rebid_Doc_Coll">#REF!</definedName>
    <definedName name="REDUCER" localSheetId="1">#REF!</definedName>
    <definedName name="REDUCER">#REF!</definedName>
    <definedName name="REDUCER_SCHEDULES" localSheetId="1">#REF!</definedName>
    <definedName name="REDUCER_SCHEDULES">#REF!</definedName>
    <definedName name="REKAP" localSheetId="1">#REF!</definedName>
    <definedName name="REKAP">#REF!</definedName>
    <definedName name="Remarks">#REF!</definedName>
    <definedName name="rfe" localSheetId="9" hidden="1">{#N/A,#N/A,FALSE,"PPA Outline";#N/A,#N/A,FALSE,"Graphs"}</definedName>
    <definedName name="rfe" localSheetId="1" hidden="1">{#N/A,#N/A,FALSE,"PPA Outline";#N/A,#N/A,FALSE,"Graphs"}</definedName>
    <definedName name="rfe" localSheetId="0" hidden="1">{#N/A,#N/A,FALSE,"PPA Outline";#N/A,#N/A,FALSE,"Graphs"}</definedName>
    <definedName name="rfe" localSheetId="10" hidden="1">{#N/A,#N/A,FALSE,"PPA Outline";#N/A,#N/A,FALSE,"Graphs"}</definedName>
    <definedName name="rfe" localSheetId="5" hidden="1">{#N/A,#N/A,FALSE,"PPA Outline";#N/A,#N/A,FALSE,"Graphs"}</definedName>
    <definedName name="rfe" hidden="1">{#N/A,#N/A,FALSE,"PPA Outline";#N/A,#N/A,FALSE,"Graphs"}</definedName>
    <definedName name="Risk_response" localSheetId="1">#REF!:OFFSET(#REF!,COUNTA(#REF!),0)</definedName>
    <definedName name="Risk_response">#REF!:OFFSET(#REF!,COUNTA(#REF!),0)</definedName>
    <definedName name="Risk_Severity" localSheetId="1">#REF!</definedName>
    <definedName name="Risk_Severity">#REF!</definedName>
    <definedName name="Risk_Severity_Table" localSheetId="1">#REF!</definedName>
    <definedName name="Risk_Severity_Table">#REF!</definedName>
    <definedName name="rrr" localSheetId="9" hidden="1">{#N/A,#N/A,FALSE,"PPA Outline";#N/A,#N/A,FALSE,"Graphs"}</definedName>
    <definedName name="rrr" localSheetId="1" hidden="1">{#N/A,#N/A,FALSE,"PPA Outline";#N/A,#N/A,FALSE,"Graphs"}</definedName>
    <definedName name="rrr" localSheetId="0" hidden="1">{#N/A,#N/A,FALSE,"PPA Outline";#N/A,#N/A,FALSE,"Graphs"}</definedName>
    <definedName name="rrr" localSheetId="10" hidden="1">{#N/A,#N/A,FALSE,"PPA Outline";#N/A,#N/A,FALSE,"Graphs"}</definedName>
    <definedName name="rrr" localSheetId="5" hidden="1">{#N/A,#N/A,FALSE,"PPA Outline";#N/A,#N/A,FALSE,"Graphs"}</definedName>
    <definedName name="rrr" hidden="1">{#N/A,#N/A,FALSE,"PPA Outline";#N/A,#N/A,FALSE,"Graphs"}</definedName>
    <definedName name="Rust_Grade" localSheetId="1">#REF!</definedName>
    <definedName name="Rust_Grade">#REF!</definedName>
    <definedName name="Rwvu.AG." localSheetId="1" hidden="1">#REF!,#REF!,#REF!</definedName>
    <definedName name="Rwvu.AG." hidden="1">#REF!,#REF!,#REF!</definedName>
    <definedName name="Rwvu.TCE_TL." localSheetId="1" hidden="1">#REF!,#REF!,#REF!,#REF!,#REF!,#REF!,#REF!</definedName>
    <definedName name="Rwvu.TCE_TL." hidden="1">#REF!,#REF!,#REF!,#REF!,#REF!,#REF!,#REF!</definedName>
    <definedName name="Rwvu.TCE_TY." localSheetId="1" hidden="1">#REF!,#REF!</definedName>
    <definedName name="Rwvu.TCE_TY." hidden="1">#REF!,#REF!</definedName>
    <definedName name="s">#REF!</definedName>
    <definedName name="SA">#REF!</definedName>
    <definedName name="SAFETY">#REF!</definedName>
    <definedName name="Safety_Page9" localSheetId="1">#REF!</definedName>
    <definedName name="Safety_Page9">#REF!</definedName>
    <definedName name="SAPBEXrevision" hidden="1">3</definedName>
    <definedName name="SAPBEXsysID" hidden="1">"PBW"</definedName>
    <definedName name="SAPBEXwbID" hidden="1">"3WU8T254Z15RWUEPGC705AQ1M"</definedName>
    <definedName name="SC" localSheetId="1">#REF!</definedName>
    <definedName name="SC">#REF!</definedName>
    <definedName name="Scaffolding_application" localSheetId="1">#REF!</definedName>
    <definedName name="Scaffolding_application">#REF!</definedName>
    <definedName name="Scaffolding_perDay" localSheetId="1">#REF!</definedName>
    <definedName name="Scaffolding_perDay">#REF!</definedName>
    <definedName name="SCHED_180DLR" localSheetId="1">#REF!</definedName>
    <definedName name="SCHED_180DLR">#REF!</definedName>
    <definedName name="SCHED_180DSR" localSheetId="1">#REF!</definedName>
    <definedName name="SCHED_180DSR">#REF!</definedName>
    <definedName name="SCHED_45DLR" localSheetId="1">#REF!</definedName>
    <definedName name="SCHED_45DLR">#REF!</definedName>
    <definedName name="SCHED_45DSR" localSheetId="1">#REF!</definedName>
    <definedName name="SCHED_45DSR">#REF!</definedName>
    <definedName name="SCHED_90DLR" localSheetId="1">#REF!</definedName>
    <definedName name="SCHED_90DLR">#REF!</definedName>
    <definedName name="SCHED_90DSR" localSheetId="1">#REF!</definedName>
    <definedName name="SCHED_90DSR">#REF!</definedName>
    <definedName name="selfloaderdays" localSheetId="1">#REF!</definedName>
    <definedName name="selfloaderdays">#REF!</definedName>
    <definedName name="selGanttChart" localSheetId="8">CHOOSE(valGanttType,dailyGantt,weeklyGantt,monthlyGantt)</definedName>
    <definedName name="selGanttChart" localSheetId="9">CHOOSE(valGanttType,dailyGantt,weeklyGantt,monthlyGantt)</definedName>
    <definedName name="selGanttChart" localSheetId="1">CHOOSE(valGanttType,dailyGantt,weeklyGantt,monthlyGantt)</definedName>
    <definedName name="selGanttChart" localSheetId="0">CHOOSE(valGanttType,dailyGantt,weeklyGantt,monthlyGantt)</definedName>
    <definedName name="selGanttChart" localSheetId="10">CHOOSE(valGanttType,dailyGantt,weeklyGantt,monthlyGantt)</definedName>
    <definedName name="selGanttChart" localSheetId="5">CHOOSE(valGanttType,dailyGantt,weeklyGantt,monthlyGantt)</definedName>
    <definedName name="selGanttChart">CHOOSE(valGanttType,dailyGantt,weeklyGantt,monthlyGantt)</definedName>
    <definedName name="SelPlan" localSheetId="9">INDEX(lstPlans,#REF!)</definedName>
    <definedName name="SelPlan" localSheetId="1">INDEX(Input!lstPlans,#REF!)</definedName>
    <definedName name="SelPlan" localSheetId="0">INDEX(lstPlans,#REF!)</definedName>
    <definedName name="SelPlan" localSheetId="10">INDEX(lstPlans,#REF!)</definedName>
    <definedName name="SelPlan" localSheetId="5">INDEX(lstPlans,#REF!)</definedName>
    <definedName name="SelPlan">INDEX(lstPlans,#REF!)</definedName>
    <definedName name="SEPTEMBER" localSheetId="1">#REF!</definedName>
    <definedName name="SEPTEMBER">#REF!</definedName>
    <definedName name="Severity_2" localSheetId="1">#REF!:OFFSET(#REF!,COUNTA(#REF!),0)</definedName>
    <definedName name="Severity_2">#REF!:OFFSET(#REF!,COUNTA(#REF!),0)</definedName>
    <definedName name="SHAPE_SIZE" localSheetId="1">#REF!</definedName>
    <definedName name="SHAPE_SIZE">#REF!</definedName>
    <definedName name="SHAPE_WEIGHT_Kg" localSheetId="1">#REF!</definedName>
    <definedName name="SHAPE_WEIGHT_Kg">#REF!</definedName>
    <definedName name="Size_Thrd_FullCplg" localSheetId="1">#REF!</definedName>
    <definedName name="Size_Thrd_FullCplg">#REF!</definedName>
    <definedName name="Smm" localSheetId="10" hidden="1">#REF!</definedName>
    <definedName name="Smm" hidden="1">#REF!</definedName>
    <definedName name="SO" localSheetId="1">#REF!</definedName>
    <definedName name="SO">#REF!</definedName>
    <definedName name="SO_Flange_Weight" localSheetId="1">#REF!</definedName>
    <definedName name="SO_Flange_Weight">#REF!</definedName>
    <definedName name="SOCKOLET_H" localSheetId="1">#REF!</definedName>
    <definedName name="SOCKOLET_H">#REF!</definedName>
    <definedName name="SOCKOLET_OD" localSheetId="1">#REF!</definedName>
    <definedName name="SOCKOLET_OD">#REF!</definedName>
    <definedName name="SOCKOLET_WEIGHT" localSheetId="1">#REF!</definedName>
    <definedName name="SOCKOLET_WEIGHT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372000</definedName>
    <definedName name="SOPIR" hidden="1">#REF!</definedName>
    <definedName name="Special_PPE" localSheetId="1">#REF!</definedName>
    <definedName name="Special_PPE">#REF!</definedName>
    <definedName name="Split05_1" localSheetId="1">#REF!</definedName>
    <definedName name="Split05_1">#REF!</definedName>
    <definedName name="Split1_2" localSheetId="1">#REF!</definedName>
    <definedName name="Split1_2">#REF!</definedName>
    <definedName name="Split2_3" localSheetId="1">#REF!</definedName>
    <definedName name="Split2_3">#REF!</definedName>
    <definedName name="split3.5" localSheetId="1">#REF!</definedName>
    <definedName name="split3.5">#REF!</definedName>
    <definedName name="Sponge" localSheetId="1">#REF!</definedName>
    <definedName name="Sponge">#REF!</definedName>
    <definedName name="Spongejet_Operator" localSheetId="1">#REF!</definedName>
    <definedName name="Spongejet_Operator">#REF!</definedName>
    <definedName name="Spv" localSheetId="1">#REF!</definedName>
    <definedName name="Spv">#REF!</definedName>
    <definedName name="SSD" hidden="1">#REF!</definedName>
    <definedName name="sssssssssssssssssssssssssss" localSheetId="9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sssssssssssssssssssssssssss" localSheetId="1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sssssssssssssssssssssssssss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sssssssssssssssssssssssssss" localSheetId="1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sssssssssssssssssssssssssss" localSheetId="5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sssssssssssssssssssssssssss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Stakeholders_Impacted" localSheetId="1">#REF!:OFFSET(#REF!,COUNTA(#REF!),0)</definedName>
    <definedName name="Stakeholders_Impacted">#REF!:OFFSET(#REF!,COUNTA(#REF!),0)</definedName>
    <definedName name="StartDate" localSheetId="1">#REF!</definedName>
    <definedName name="StartDate">#REF!</definedName>
    <definedName name="Status" localSheetId="1">#REF!:OFFSET(#REF!,COUNTA(#REF!),0)</definedName>
    <definedName name="Status">#REF!:OFFSET(#REF!,COUNTA(#REF!),0)</definedName>
    <definedName name="step" localSheetId="1">#REF!</definedName>
    <definedName name="step">#REF!</definedName>
    <definedName name="Subdomain" localSheetId="1">#REF!:OFFSET(#REF!,COUNTA(#REF!),0)</definedName>
    <definedName name="Subdomain">#REF!:OFFSET(#REF!,COUNTA(#REF!),0)</definedName>
    <definedName name="Summary_new" localSheetId="10" hidden="1">#REF!</definedName>
    <definedName name="Summary_new" hidden="1">#REF!</definedName>
    <definedName name="Summary2" localSheetId="10" hidden="1">#REF!</definedName>
    <definedName name="Summary2" hidden="1">#REF!</definedName>
    <definedName name="Surf_Area_Shape_PerM" localSheetId="1">#REF!</definedName>
    <definedName name="Surf_Area_Shape_PerM">#REF!</definedName>
    <definedName name="SW_45D" localSheetId="1">#REF!</definedName>
    <definedName name="SW_45D">#REF!</definedName>
    <definedName name="SW_90D" localSheetId="1">#REF!</definedName>
    <definedName name="SW_90D">#REF!</definedName>
    <definedName name="SW_Flange_Weigth" localSheetId="1">#REF!</definedName>
    <definedName name="SW_Flange_Weigth">#REF!</definedName>
    <definedName name="Swvu.AG." localSheetId="1" hidden="1">#REF!</definedName>
    <definedName name="Swvu.AG." hidden="1">#REF!</definedName>
    <definedName name="Swvu.RESUME." localSheetId="1" hidden="1">#REF!</definedName>
    <definedName name="Swvu.RESUME." hidden="1">#REF!</definedName>
    <definedName name="Swvu.TCE_TL." localSheetId="1" hidden="1">#REF!</definedName>
    <definedName name="Swvu.TCE_TL." hidden="1">#REF!</definedName>
    <definedName name="Swvu.TCE_TY." localSheetId="1" hidden="1">#REF!</definedName>
    <definedName name="Swvu.TCE_TY." hidden="1">#REF!</definedName>
    <definedName name="Swvu.TOUT." localSheetId="1" hidden="1">#REF!</definedName>
    <definedName name="Swvu.TOUT." hidden="1">#REF!</definedName>
    <definedName name="SX">#REF!</definedName>
    <definedName name="T_PLATE" localSheetId="1">#REF!</definedName>
    <definedName name="T_PLATE">#REF!</definedName>
    <definedName name="T900_949">#N/A</definedName>
    <definedName name="TabelKT">#REF!</definedName>
    <definedName name="TableRowStart" localSheetId="1">ROW(#REF!)</definedName>
    <definedName name="TableRowStart">ROW(#REF!)</definedName>
    <definedName name="Tatacara_Pemasukan_Dokumen" localSheetId="1">#REF!</definedName>
    <definedName name="Tatacara_Pemasukan_Dokumen">#REF!</definedName>
    <definedName name="Team_Impacted" localSheetId="1">#REF!:OFFSET(#REF!,COUNTA(#REF!),0)</definedName>
    <definedName name="Team_Impacted">#REF!:OFFSET(#REF!,COUNTA(#REF!),0)</definedName>
    <definedName name="TEAM_OWNER" localSheetId="1">#REF!</definedName>
    <definedName name="TEAM_OWNER">#REF!</definedName>
    <definedName name="TEES_DIAMETER" localSheetId="1">#REF!</definedName>
    <definedName name="TEES_DIAMETER">#REF!</definedName>
    <definedName name="TEES_SCHEDULES" localSheetId="1">#REF!</definedName>
    <definedName name="TEES_SCHEDULES">#REF!</definedName>
    <definedName name="test" localSheetId="9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est" localSheetId="1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est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est" localSheetId="1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est" localSheetId="5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est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HRD_45D" localSheetId="1">#REF!</definedName>
    <definedName name="THRD_45D">#REF!</definedName>
    <definedName name="THRD_90D" localSheetId="1">#REF!</definedName>
    <definedName name="THRD_90D">#REF!</definedName>
    <definedName name="THRD_H" localSheetId="1">#REF!</definedName>
    <definedName name="THRD_H">#REF!</definedName>
    <definedName name="THRD_OD" localSheetId="1">#REF!</definedName>
    <definedName name="THRD_OD">#REF!</definedName>
    <definedName name="THRD_WEIGHT" localSheetId="1">#REF!</definedName>
    <definedName name="THRD_WEIGHT">#REF!</definedName>
    <definedName name="Thread_Flange_Weight" localSheetId="1">#REF!</definedName>
    <definedName name="Thread_Flange_Weight">#REF!</definedName>
    <definedName name="Title_Proc_AO" localSheetId="1">#REF!</definedName>
    <definedName name="Title_Proc_AO">#REF!</definedName>
    <definedName name="tkgerinda" localSheetId="1">#REF!</definedName>
    <definedName name="tkgerinda">#REF!</definedName>
    <definedName name="tkglas" localSheetId="1">#REF!</definedName>
    <definedName name="tkglas">#REF!</definedName>
    <definedName name="tklas" localSheetId="1">#REF!</definedName>
    <definedName name="tklas">#REF!</definedName>
    <definedName name="TOTAL1">#N/A</definedName>
    <definedName name="TOTAL2">#N/A</definedName>
    <definedName name="toto" localSheetId="9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oto" localSheetId="1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oto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oto" localSheetId="1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oto" localSheetId="5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oto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owerair1" localSheetId="1">#REF!</definedName>
    <definedName name="towerair1">#REF!</definedName>
    <definedName name="towerair2" localSheetId="1">#REF!</definedName>
    <definedName name="towerair2">#REF!</definedName>
    <definedName name="TR" hidden="1">#REF!</definedName>
    <definedName name="trontondays" localSheetId="1">#REF!</definedName>
    <definedName name="trontondays">#REF!</definedName>
    <definedName name="TT" hidden="1">#REF!</definedName>
    <definedName name="tukang" localSheetId="1">#REF!</definedName>
    <definedName name="tukang">#REF!</definedName>
    <definedName name="tulanganbeton">#REF!</definedName>
    <definedName name="tutu" localSheetId="9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utu" localSheetId="1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utu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utu" localSheetId="1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utu" localSheetId="5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utu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TYPE" localSheetId="1">#REF!</definedName>
    <definedName name="TYPE">#REF!</definedName>
    <definedName name="Type_Committee" localSheetId="1">#REF!</definedName>
    <definedName name="Type_Committee">#REF!</definedName>
    <definedName name="Type_Procurement_Method" localSheetId="1">#REF!</definedName>
    <definedName name="Type_Procurement_Method">#REF!</definedName>
    <definedName name="TypeContract_JenisKontrak" localSheetId="1">#REF!</definedName>
    <definedName name="TypeContract_JenisKontrak">#REF!</definedName>
    <definedName name="TypeDevis" localSheetId="1">#REF!</definedName>
    <definedName name="TypeDevis">#REF!</definedName>
    <definedName name="ukjgtf" localSheetId="9" hidden="1">{#N/A,#N/A,FALSE,"CALCOC"}</definedName>
    <definedName name="ukjgtf" localSheetId="1" hidden="1">{#N/A,#N/A,FALSE,"CALCOC"}</definedName>
    <definedName name="ukjgtf" localSheetId="0" hidden="1">{#N/A,#N/A,FALSE,"CALCOC"}</definedName>
    <definedName name="ukjgtf" localSheetId="10" hidden="1">{#N/A,#N/A,FALSE,"CALCOC"}</definedName>
    <definedName name="ukjgtf" localSheetId="5" hidden="1">{#N/A,#N/A,FALSE,"CALCOC"}</definedName>
    <definedName name="ukjgtf" hidden="1">{#N/A,#N/A,FALSE,"CALCOC"}</definedName>
    <definedName name="UNI_AA_VERSION" hidden="1">"320.1.0"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TES" localSheetId="1">#REF!</definedName>
    <definedName name="UNITES">#REF!</definedName>
    <definedName name="upahbekisting">#REF!</definedName>
    <definedName name="upahbongkaran">#REF!</definedName>
    <definedName name="uruganpasir" localSheetId="1">#REF!</definedName>
    <definedName name="uruganpasir">#REF!</definedName>
    <definedName name="urugantanah" localSheetId="1">#REF!</definedName>
    <definedName name="urugantanah">#REF!</definedName>
    <definedName name="USD_Fab" localSheetId="1">#REF!</definedName>
    <definedName name="USD_Fab">#REF!</definedName>
    <definedName name="USD_OH" localSheetId="1">#REF!</definedName>
    <definedName name="USD_OH">#REF!</definedName>
    <definedName name="V" localSheetId="1">#REF!</definedName>
    <definedName name="V">#REF!</definedName>
    <definedName name="vacuumdays" localSheetId="1">#REF!</definedName>
    <definedName name="vacuumdays">#REF!</definedName>
    <definedName name="VC" localSheetId="1">#REF!</definedName>
    <definedName name="VC">#REF!</definedName>
    <definedName name="Vendor" localSheetId="1">#REF!</definedName>
    <definedName name="Vendor">#REF!</definedName>
    <definedName name="Vf" localSheetId="1">#REF!</definedName>
    <definedName name="Vf">#REF!</definedName>
    <definedName name="vibratordays" localSheetId="1">#REF!</definedName>
    <definedName name="vibratordays">#REF!</definedName>
    <definedName name="ViewYear" localSheetId="1">#REF!</definedName>
    <definedName name="ViewYear">#REF!</definedName>
    <definedName name="Visit" localSheetId="1">#REF!</definedName>
    <definedName name="Visit">#REF!</definedName>
    <definedName name="VS_CAT" localSheetId="1">#REF!</definedName>
    <definedName name="VS_CAT">#REF!</definedName>
    <definedName name="VV">#REF!</definedName>
    <definedName name="WAGE_INCREASE" localSheetId="1">#REF!</definedName>
    <definedName name="WAGE_INCREASE">#REF!</definedName>
    <definedName name="Waiting">"Picture 1"</definedName>
    <definedName name="Waterjet_Operator" localSheetId="1">#REF!</definedName>
    <definedName name="Waterjet_Operator">#REF!</definedName>
    <definedName name="watertruckdays" localSheetId="1">#REF!</definedName>
    <definedName name="watertruckdays">#REF!</definedName>
    <definedName name="Weight_Profile_Per_M" localSheetId="1">#REF!</definedName>
    <definedName name="Weight_Profile_Per_M">#REF!</definedName>
    <definedName name="Weight_RTJ" localSheetId="1">#REF!</definedName>
    <definedName name="Weight_RTJ">#REF!</definedName>
    <definedName name="Weight_SW_Coupling" localSheetId="1">#REF!</definedName>
    <definedName name="Weight_SW_Coupling">#REF!</definedName>
    <definedName name="Weight_Tee_Threaded" localSheetId="1">#REF!</definedName>
    <definedName name="Weight_Tee_Threaded">#REF!</definedName>
    <definedName name="Weight_Thrd_FullCplg" localSheetId="1">#REF!</definedName>
    <definedName name="Weight_Thrd_FullCplg">#REF!</definedName>
    <definedName name="Weight_Union" localSheetId="1">#REF!</definedName>
    <definedName name="Weight_Union">#REF!</definedName>
    <definedName name="Weldolet_Dia" localSheetId="1">#REF!</definedName>
    <definedName name="Weldolet_Dia">#REF!</definedName>
    <definedName name="Weldolet_H" localSheetId="1">#REF!</definedName>
    <definedName name="Weldolet_H">#REF!</definedName>
    <definedName name="Weldolet_Sch" localSheetId="1">#REF!</definedName>
    <definedName name="Weldolet_Sch">#REF!</definedName>
    <definedName name="Weldolet_Weight" localSheetId="1">#REF!</definedName>
    <definedName name="Weldolet_Weight">#REF!</definedName>
    <definedName name="WEQD">#REF!</definedName>
    <definedName name="WNF_Weight" localSheetId="1">#REF!</definedName>
    <definedName name="WNF_Weight">#REF!</definedName>
    <definedName name="Workstream_Impacted" localSheetId="1">#REF!:OFFSET(#REF!,COUNTA(#REF!),0)</definedName>
    <definedName name="Workstream_Impacted">#REF!:OFFSET(#REF!,COUNTA(#REF!),0)</definedName>
    <definedName name="WQAS" hidden="1">#REF!</definedName>
    <definedName name="wrn.Bilan._.mensuel._.Rechapage." localSheetId="9" hidden="1">{#N/A,#N/A,FALSE,"Feuil1"}</definedName>
    <definedName name="wrn.Bilan._.mensuel._.Rechapage." localSheetId="1" hidden="1">{#N/A,#N/A,FALSE,"Feuil1"}</definedName>
    <definedName name="wrn.Bilan._.mensuel._.Rechapage." localSheetId="0" hidden="1">{#N/A,#N/A,FALSE,"Feuil1"}</definedName>
    <definedName name="wrn.Bilan._.mensuel._.Rechapage." localSheetId="10" hidden="1">{#N/A,#N/A,FALSE,"Feuil1"}</definedName>
    <definedName name="wrn.Bilan._.mensuel._.Rechapage." localSheetId="5" hidden="1">{#N/A,#N/A,FALSE,"Feuil1"}</definedName>
    <definedName name="wrn.Bilan._.mensuel._.Rechapage." hidden="1">{#N/A,#N/A,FALSE,"Feuil1"}</definedName>
    <definedName name="wrn.COSTE_E." localSheetId="9" hidden="1">{#N/A,#N/A,FALSE,"C_ENE96";#N/A,#N/A,FALSE,"C_CATEG";#N/A,#N/A,FALSE,"C_DIC96"}</definedName>
    <definedName name="wrn.COSTE_E." localSheetId="1" hidden="1">{#N/A,#N/A,FALSE,"C_ENE96";#N/A,#N/A,FALSE,"C_CATEG";#N/A,#N/A,FALSE,"C_DIC96"}</definedName>
    <definedName name="wrn.COSTE_E." localSheetId="0" hidden="1">{#N/A,#N/A,FALSE,"C_ENE96";#N/A,#N/A,FALSE,"C_CATEG";#N/A,#N/A,FALSE,"C_DIC96"}</definedName>
    <definedName name="wrn.COSTE_E." localSheetId="10" hidden="1">{#N/A,#N/A,FALSE,"C_ENE96";#N/A,#N/A,FALSE,"C_CATEG";#N/A,#N/A,FALSE,"C_DIC96"}</definedName>
    <definedName name="wrn.COSTE_E." localSheetId="5" hidden="1">{#N/A,#N/A,FALSE,"C_ENE96";#N/A,#N/A,FALSE,"C_CATEG";#N/A,#N/A,FALSE,"C_DIC96"}</definedName>
    <definedName name="wrn.COSTE_E." hidden="1">{#N/A,#N/A,FALSE,"C_ENE96";#N/A,#N/A,FALSE,"C_CATEG";#N/A,#N/A,FALSE,"C_DIC96"}</definedName>
    <definedName name="wrn.estimate." localSheetId="9" hidden="1">{#N/A,#N/A,FALSE,"Parameters";#N/A,#N/A,FALSE,"Costs";"ef",#N/A,FALSE,"Effort";"ps",#N/A,FALSE,"1-P&amp;S";"vt",#N/A,FALSE,"2-V&amp;T";"re",#N/A,FALSE,"3-RED.";"co",#N/A,FALSE,"4-CONF.";"td",#N/A,FALSE,"5-T&amp;D"}</definedName>
    <definedName name="wrn.estimate." localSheetId="1" hidden="1">{#N/A,#N/A,FALSE,"Parameters";#N/A,#N/A,FALSE,"Costs";"ef",#N/A,FALSE,"Effort";"ps",#N/A,FALSE,"1-P&amp;S";"vt",#N/A,FALSE,"2-V&amp;T";"re",#N/A,FALSE,"3-RED.";"co",#N/A,FALSE,"4-CONF.";"td",#N/A,FALSE,"5-T&amp;D"}</definedName>
    <definedName name="wrn.estimate." localSheetId="0" hidden="1">{#N/A,#N/A,FALSE,"Parameters";#N/A,#N/A,FALSE,"Costs";"ef",#N/A,FALSE,"Effort";"ps",#N/A,FALSE,"1-P&amp;S";"vt",#N/A,FALSE,"2-V&amp;T";"re",#N/A,FALSE,"3-RED.";"co",#N/A,FALSE,"4-CONF.";"td",#N/A,FALSE,"5-T&amp;D"}</definedName>
    <definedName name="wrn.estimate." localSheetId="10" hidden="1">{#N/A,#N/A,FALSE,"Parameters";#N/A,#N/A,FALSE,"Costs";"ef",#N/A,FALSE,"Effort";"ps",#N/A,FALSE,"1-P&amp;S";"vt",#N/A,FALSE,"2-V&amp;T";"re",#N/A,FALSE,"3-RED.";"co",#N/A,FALSE,"4-CONF.";"td",#N/A,FALSE,"5-T&amp;D"}</definedName>
    <definedName name="wrn.estimate." localSheetId="5" hidden="1">{#N/A,#N/A,FALSE,"Parameters";#N/A,#N/A,FALSE,"Costs";"ef",#N/A,FALSE,"Effort";"ps",#N/A,FALSE,"1-P&amp;S";"vt",#N/A,FALSE,"2-V&amp;T";"re",#N/A,FALSE,"3-RED.";"co",#N/A,FALSE,"4-CONF.";"td",#N/A,FALSE,"5-T&amp;D"}</definedName>
    <definedName name="wrn.estimate." hidden="1">{#N/A,#N/A,FALSE,"Parameters";#N/A,#N/A,FALSE,"Costs";"ef",#N/A,FALSE,"Effort";"ps",#N/A,FALSE,"1-P&amp;S";"vt",#N/A,FALSE,"2-V&amp;T";"re",#N/A,FALSE,"3-RED.";"co",#N/A,FALSE,"4-CONF.";"td",#N/A,FALSE,"5-T&amp;D"}</definedName>
    <definedName name="wrn.PPA._.Outline." localSheetId="9" hidden="1">{#N/A,#N/A,FALSE,"PPA Outline";#N/A,#N/A,FALSE,"Graphs"}</definedName>
    <definedName name="wrn.PPA._.Outline." localSheetId="1" hidden="1">{#N/A,#N/A,FALSE,"PPA Outline";#N/A,#N/A,FALSE,"Graphs"}</definedName>
    <definedName name="wrn.PPA._.Outline." localSheetId="0" hidden="1">{#N/A,#N/A,FALSE,"PPA Outline";#N/A,#N/A,FALSE,"Graphs"}</definedName>
    <definedName name="wrn.PPA._.Outline." localSheetId="10" hidden="1">{#N/A,#N/A,FALSE,"PPA Outline";#N/A,#N/A,FALSE,"Graphs"}</definedName>
    <definedName name="wrn.PPA._.Outline." localSheetId="5" hidden="1">{#N/A,#N/A,FALSE,"PPA Outline";#N/A,#N/A,FALSE,"Graphs"}</definedName>
    <definedName name="wrn.PPA._.Outline." hidden="1">{#N/A,#N/A,FALSE,"PPA Outline";#N/A,#N/A,FALSE,"Graphs"}</definedName>
    <definedName name="wrn.Printout." localSheetId="9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." localSheetId="1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.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." localSheetId="1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." localSheetId="5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.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localSheetId="9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localSheetId="1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localSheetId="1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localSheetId="5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teste." localSheetId="9" hidden="1">{#N/A,#N/A,FALSE,"&lt;&lt;&lt;Cronograma Molde 1999&gt;&gt;&gt;"}</definedName>
    <definedName name="wrn.teste." localSheetId="1" hidden="1">{#N/A,#N/A,FALSE,"&lt;&lt;&lt;Cronograma Molde 1999&gt;&gt;&gt;"}</definedName>
    <definedName name="wrn.teste." localSheetId="0" hidden="1">{#N/A,#N/A,FALSE,"&lt;&lt;&lt;Cronograma Molde 1999&gt;&gt;&gt;"}</definedName>
    <definedName name="wrn.teste." localSheetId="10" hidden="1">{#N/A,#N/A,FALSE,"&lt;&lt;&lt;Cronograma Molde 1999&gt;&gt;&gt;"}</definedName>
    <definedName name="wrn.teste." localSheetId="5" hidden="1">{#N/A,#N/A,FALSE,"&lt;&lt;&lt;Cronograma Molde 1999&gt;&gt;&gt;"}</definedName>
    <definedName name="wrn.teste." hidden="1">{#N/A,#N/A,FALSE,"&lt;&lt;&lt;Cronograma Molde 1999&gt;&gt;&gt;"}</definedName>
    <definedName name="wrn.Toutes." localSheetId="9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outes." localSheetId="1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outes." localSheetId="0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outes." localSheetId="10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outes." localSheetId="5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outes.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ungkal." localSheetId="9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 (2)"}</definedName>
    <definedName name="wrn.Tungkal." localSheetId="1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 (2)"}</definedName>
    <definedName name="wrn.Tungkal." localSheetId="0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 (2)"}</definedName>
    <definedName name="wrn.Tungkal." localSheetId="10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 (2)"}</definedName>
    <definedName name="wrn.Tungkal." localSheetId="5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 (2)"}</definedName>
    <definedName name="wrn.Tungkal.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 (2)"}</definedName>
    <definedName name="wrn.wwrfreferf." localSheetId="9" hidden="1">{#N/A,#N/A,FALSE,"CALCOC"}</definedName>
    <definedName name="wrn.wwrfreferf." localSheetId="1" hidden="1">{#N/A,#N/A,FALSE,"CALCOC"}</definedName>
    <definedName name="wrn.wwrfreferf." localSheetId="0" hidden="1">{#N/A,#N/A,FALSE,"CALCOC"}</definedName>
    <definedName name="wrn.wwrfreferf." localSheetId="10" hidden="1">{#N/A,#N/A,FALSE,"CALCOC"}</definedName>
    <definedName name="wrn.wwrfreferf." localSheetId="5" hidden="1">{#N/A,#N/A,FALSE,"CALCOC"}</definedName>
    <definedName name="wrn.wwrfreferf." hidden="1">{#N/A,#N/A,FALSE,"CALCOC"}</definedName>
    <definedName name="wvu.AG." localSheetId="9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AG." localSheetId="1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AG." localSheetId="0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AG." localSheetId="10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AG." localSheetId="5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AG.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praes_d1." localSheetId="9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localSheetId="1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localSheetId="1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localSheetId="5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RESUME." localSheetId="9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RESUME." localSheetId="1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RESUME." localSheetId="0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RESUME." localSheetId="10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RESUME." localSheetId="5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RESUME.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TCE_TL." localSheetId="9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L." localSheetId="1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L." localSheetId="0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L." localSheetId="10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L." localSheetId="5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L.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Y." localSheetId="9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CE_TY." localSheetId="1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CE_TY." localSheetId="0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CE_TY." localSheetId="10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CE_TY." localSheetId="5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CE_TY.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OUT." localSheetId="9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vu.TOUT." localSheetId="1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vu.TOUT." localSheetId="0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vu.TOUT." localSheetId="10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vu.TOUT." localSheetId="5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vu.TOUT.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W">#REF!</definedName>
    <definedName name="X" localSheetId="1">#REF!</definedName>
    <definedName name="X">#REF!</definedName>
    <definedName name="XC">#REF!</definedName>
    <definedName name="xsergftde" localSheetId="9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xsergftde" localSheetId="1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xsergftde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xsergftde" localSheetId="1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xsergftde" localSheetId="5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xsergftde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XV">#REF!</definedName>
    <definedName name="XX">#REF!</definedName>
    <definedName name="xxx" localSheetId="1" hidden="1">#REF!</definedName>
    <definedName name="xxx" hidden="1">#REF!</definedName>
    <definedName name="XZ">#REF!</definedName>
    <definedName name="ys">NA()</definedName>
    <definedName name="YT" hidden="1">#REF!</definedName>
    <definedName name="Yudo" localSheetId="1">#REF!</definedName>
    <definedName name="Yudo">#REF!</definedName>
    <definedName name="z" localSheetId="1">#REF!</definedName>
    <definedName name="z">#REF!</definedName>
    <definedName name="ZONES" localSheetId="1">#REF!</definedName>
    <definedName name="ZONES">#REF!</definedName>
    <definedName name="견적조건" localSheetId="1" hidden="1">#REF!</definedName>
    <definedName name="견적조건" hidden="1">#REF!</definedName>
    <definedName name="부대공사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" i="11" l="1"/>
  <c r="X18" i="11"/>
  <c r="W18" i="11"/>
  <c r="V18" i="11"/>
  <c r="U18" i="11"/>
  <c r="T18" i="11"/>
  <c r="S18" i="11"/>
  <c r="R18" i="11"/>
  <c r="Q18" i="11"/>
  <c r="AC17" i="11"/>
  <c r="AD17" i="11" s="1"/>
  <c r="AA17" i="11"/>
  <c r="AB17" i="11" s="1"/>
  <c r="Z17" i="11"/>
  <c r="P17" i="11" s="1"/>
  <c r="O17" i="11" s="1"/>
  <c r="M17" i="11" s="1"/>
  <c r="L17" i="11" s="1"/>
  <c r="J17" i="11" s="1"/>
  <c r="AC16" i="11"/>
  <c r="AD16" i="11" s="1"/>
  <c r="AA16" i="11"/>
  <c r="AB16" i="11" s="1"/>
  <c r="Z16" i="11"/>
  <c r="P16" i="11" s="1"/>
  <c r="O16" i="11" s="1"/>
  <c r="AC15" i="11"/>
  <c r="AD15" i="11" s="1"/>
  <c r="AA15" i="11"/>
  <c r="AB15" i="11" s="1"/>
  <c r="Z15" i="11"/>
  <c r="P15" i="11" s="1"/>
  <c r="O15" i="11" s="1"/>
  <c r="M15" i="11" s="1"/>
  <c r="L15" i="11" s="1"/>
  <c r="J15" i="11" s="1"/>
  <c r="AC14" i="11"/>
  <c r="AD14" i="11" s="1"/>
  <c r="AA14" i="11"/>
  <c r="AB14" i="11" s="1"/>
  <c r="Z14" i="11"/>
  <c r="P14" i="11" s="1"/>
  <c r="O14" i="11" s="1"/>
  <c r="M14" i="11" s="1"/>
  <c r="L14" i="11" s="1"/>
  <c r="J14" i="11" s="1"/>
  <c r="AC13" i="11"/>
  <c r="AC18" i="11" s="1"/>
  <c r="AA13" i="11"/>
  <c r="AA18" i="11" s="1"/>
  <c r="Z13" i="11"/>
  <c r="P13" i="11" s="1"/>
  <c r="AV19" i="10"/>
  <c r="AU19" i="10"/>
  <c r="AT19" i="10"/>
  <c r="AS19" i="10"/>
  <c r="AV18" i="10"/>
  <c r="AU18" i="10"/>
  <c r="AT18" i="10"/>
  <c r="AS18" i="10"/>
  <c r="AV17" i="10"/>
  <c r="AV22" i="10" s="1"/>
  <c r="AU17" i="10"/>
  <c r="AU22" i="10" s="1"/>
  <c r="AT17" i="10"/>
  <c r="AT22" i="10" s="1"/>
  <c r="AS17" i="10"/>
  <c r="AS22" i="10" s="1"/>
  <c r="P14" i="10"/>
  <c r="Q14" i="10" s="1"/>
  <c r="R14" i="10" s="1"/>
  <c r="S14" i="10" s="1"/>
  <c r="T14" i="10" s="1"/>
  <c r="U14" i="10" s="1"/>
  <c r="V14" i="10" s="1"/>
  <c r="W14" i="10" s="1"/>
  <c r="X14" i="10" s="1"/>
  <c r="Y14" i="10" s="1"/>
  <c r="Z14" i="10" s="1"/>
  <c r="AA14" i="10" s="1"/>
  <c r="AB14" i="10" s="1"/>
  <c r="AC14" i="10" s="1"/>
  <c r="AD14" i="10" s="1"/>
  <c r="AE14" i="10" s="1"/>
  <c r="AF14" i="10" s="1"/>
  <c r="AG14" i="10" s="1"/>
  <c r="AH14" i="10" s="1"/>
  <c r="AI14" i="10" s="1"/>
  <c r="AJ14" i="10" s="1"/>
  <c r="AK14" i="10" s="1"/>
  <c r="AL14" i="10" s="1"/>
  <c r="AM14" i="10" s="1"/>
  <c r="AN14" i="10" s="1"/>
  <c r="AO14" i="10" s="1"/>
  <c r="AP14" i="10" s="1"/>
  <c r="AQ14" i="10" s="1"/>
  <c r="AR14" i="10" s="1"/>
  <c r="O12" i="10"/>
  <c r="O11" i="10"/>
  <c r="O10" i="10"/>
  <c r="O9" i="10"/>
  <c r="O8" i="10"/>
  <c r="F27" i="9"/>
  <c r="D27" i="9"/>
  <c r="B27" i="9"/>
  <c r="C24" i="9"/>
  <c r="H22" i="9"/>
  <c r="D22" i="9"/>
  <c r="H21" i="9"/>
  <c r="D21" i="9"/>
  <c r="C17" i="9"/>
  <c r="C16" i="9"/>
  <c r="C15" i="9"/>
  <c r="C12" i="9"/>
  <c r="A44" i="9" s="1"/>
  <c r="P11" i="9"/>
  <c r="C11" i="9"/>
  <c r="A43" i="9" s="1"/>
  <c r="P10" i="9"/>
  <c r="C10" i="9"/>
  <c r="P9" i="9"/>
  <c r="M9" i="9"/>
  <c r="N9" i="9" s="1"/>
  <c r="P8" i="9" s="1"/>
  <c r="O6" i="9" s="1"/>
  <c r="A6" i="9" s="1"/>
  <c r="C9" i="9"/>
  <c r="D27" i="8"/>
  <c r="B27" i="8"/>
  <c r="C24" i="8"/>
  <c r="H22" i="8"/>
  <c r="D22" i="8"/>
  <c r="H21" i="8"/>
  <c r="D21" i="8"/>
  <c r="C17" i="8"/>
  <c r="C16" i="8"/>
  <c r="C15" i="8"/>
  <c r="C12" i="8"/>
  <c r="A44" i="8" s="1"/>
  <c r="P11" i="8"/>
  <c r="C11" i="8"/>
  <c r="A43" i="8" s="1"/>
  <c r="P10" i="8"/>
  <c r="C10" i="8"/>
  <c r="P9" i="8"/>
  <c r="M9" i="8"/>
  <c r="N9" i="8" s="1"/>
  <c r="P8" i="8" s="1"/>
  <c r="O6" i="8" s="1"/>
  <c r="A6" i="8" s="1"/>
  <c r="C9" i="8"/>
  <c r="F29" i="7"/>
  <c r="E29" i="7"/>
  <c r="G27" i="7"/>
  <c r="H27" i="7" s="1"/>
  <c r="F26" i="7"/>
  <c r="G25" i="7"/>
  <c r="H25" i="7" s="1"/>
  <c r="H23" i="7"/>
  <c r="G23" i="7"/>
  <c r="I23" i="7" s="1"/>
  <c r="G21" i="7"/>
  <c r="H21" i="7" s="1"/>
  <c r="D15" i="7"/>
  <c r="D14" i="7"/>
  <c r="D12" i="7"/>
  <c r="D11" i="7"/>
  <c r="Y21" i="6"/>
  <c r="Y24" i="6" s="1"/>
  <c r="W21" i="6"/>
  <c r="W24" i="6" s="1"/>
  <c r="U21" i="6"/>
  <c r="U24" i="6" s="1"/>
  <c r="S21" i="6"/>
  <c r="S24" i="6" s="1"/>
  <c r="E26" i="7" s="1"/>
  <c r="G26" i="7" s="1"/>
  <c r="N19" i="6"/>
  <c r="V18" i="6"/>
  <c r="T18" i="6"/>
  <c r="S18" i="6"/>
  <c r="R18" i="6"/>
  <c r="Q18" i="6"/>
  <c r="P18" i="6"/>
  <c r="X17" i="6"/>
  <c r="X21" i="6" s="1"/>
  <c r="V17" i="6"/>
  <c r="V21" i="6" s="1"/>
  <c r="V24" i="6" s="1"/>
  <c r="F20" i="7" s="1"/>
  <c r="S17" i="6"/>
  <c r="R17" i="6"/>
  <c r="Q17" i="6"/>
  <c r="Q21" i="6" s="1"/>
  <c r="Q24" i="6" s="1"/>
  <c r="E22" i="7" s="1"/>
  <c r="P17" i="6"/>
  <c r="L17" i="6"/>
  <c r="M17" i="6" s="1"/>
  <c r="I17" i="6"/>
  <c r="H17" i="6"/>
  <c r="C12" i="6"/>
  <c r="K11" i="6"/>
  <c r="C11" i="6"/>
  <c r="K10" i="6"/>
  <c r="C10" i="6"/>
  <c r="K9" i="6"/>
  <c r="C9" i="6"/>
  <c r="K8" i="6"/>
  <c r="C8" i="6"/>
  <c r="G29" i="5"/>
  <c r="H20" i="5"/>
  <c r="E20" i="5"/>
  <c r="C20" i="5"/>
  <c r="J18" i="5"/>
  <c r="L18" i="5" s="1"/>
  <c r="I18" i="5"/>
  <c r="I20" i="5" s="1"/>
  <c r="D13" i="5" s="1"/>
  <c r="G18" i="5"/>
  <c r="G20" i="5" s="1"/>
  <c r="A13" i="5" s="1"/>
  <c r="B18" i="5"/>
  <c r="C10" i="5"/>
  <c r="C9" i="5"/>
  <c r="C8" i="5"/>
  <c r="C7" i="5"/>
  <c r="H18" i="4"/>
  <c r="G18" i="4"/>
  <c r="F18" i="4"/>
  <c r="E18" i="4"/>
  <c r="C18" i="4"/>
  <c r="B17" i="4"/>
  <c r="J11" i="4"/>
  <c r="J10" i="4"/>
  <c r="J9" i="4"/>
  <c r="D9" i="4"/>
  <c r="J8" i="4"/>
  <c r="D8" i="4"/>
  <c r="B7" i="2"/>
  <c r="B8" i="2" s="1"/>
  <c r="I30" i="1"/>
  <c r="I28" i="1"/>
  <c r="I27" i="1"/>
  <c r="I26" i="1"/>
  <c r="I25" i="1"/>
  <c r="I24" i="1"/>
  <c r="I23" i="1"/>
  <c r="I21" i="1"/>
  <c r="I20" i="1"/>
  <c r="I19" i="1"/>
  <c r="I18" i="1"/>
  <c r="I17" i="1"/>
  <c r="I16" i="1"/>
  <c r="I15" i="1"/>
  <c r="J14" i="1"/>
  <c r="J15" i="1" s="1"/>
  <c r="J16" i="1" s="1"/>
  <c r="J17" i="1" s="1"/>
  <c r="J18" i="1" s="1"/>
  <c r="J19" i="1" s="1"/>
  <c r="J20" i="1" s="1"/>
  <c r="J21" i="1" s="1"/>
  <c r="I14" i="1"/>
  <c r="B14" i="1"/>
  <c r="B15" i="1" s="1"/>
  <c r="B16" i="1" s="1"/>
  <c r="B17" i="1" s="1"/>
  <c r="B18" i="1" s="1"/>
  <c r="B19" i="1" s="1"/>
  <c r="B20" i="1" s="1"/>
  <c r="B21" i="1" s="1"/>
  <c r="I13" i="1"/>
  <c r="I11" i="1"/>
  <c r="I10" i="1"/>
  <c r="I9" i="1"/>
  <c r="I8" i="1"/>
  <c r="I7" i="1"/>
  <c r="D25" i="3"/>
  <c r="E16" i="3"/>
  <c r="E15" i="3"/>
  <c r="E14" i="3"/>
  <c r="M13" i="3"/>
  <c r="M12" i="3"/>
  <c r="M15" i="3" s="1"/>
  <c r="C10" i="3"/>
  <c r="P21" i="6" l="1"/>
  <c r="J20" i="5"/>
  <c r="M19" i="6"/>
  <c r="K18" i="5"/>
  <c r="K20" i="5" s="1"/>
  <c r="G13" i="5" s="1"/>
  <c r="J18" i="4"/>
  <c r="K18" i="4" s="1"/>
  <c r="K19" i="4" s="1"/>
  <c r="X24" i="6"/>
  <c r="F24" i="7" s="1"/>
  <c r="W25" i="6"/>
  <c r="F22" i="7"/>
  <c r="G22" i="7" s="1"/>
  <c r="O13" i="11"/>
  <c r="P18" i="11"/>
  <c r="L20" i="5"/>
  <c r="N18" i="5"/>
  <c r="N20" i="5" s="1"/>
  <c r="K14" i="11"/>
  <c r="H14" i="1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9" i="2"/>
  <c r="P24" i="6"/>
  <c r="K15" i="11"/>
  <c r="H15" i="11"/>
  <c r="K17" i="11"/>
  <c r="H17" i="11"/>
  <c r="H26" i="7"/>
  <c r="I26" i="7" s="1"/>
  <c r="M16" i="11"/>
  <c r="L16" i="11" s="1"/>
  <c r="J16" i="11" s="1"/>
  <c r="R19" i="6"/>
  <c r="R21" i="6" s="1"/>
  <c r="R24" i="6" s="1"/>
  <c r="E24" i="7" s="1"/>
  <c r="T17" i="6"/>
  <c r="T21" i="6" s="1"/>
  <c r="T24" i="6" s="1"/>
  <c r="M14" i="3"/>
  <c r="C12" i="3" s="1"/>
  <c r="AB13" i="11"/>
  <c r="AB18" i="11" s="1"/>
  <c r="I25" i="7"/>
  <c r="I27" i="7"/>
  <c r="AD13" i="11"/>
  <c r="AD18" i="11" s="1"/>
  <c r="I21" i="7"/>
  <c r="G29" i="7"/>
  <c r="Z18" i="11"/>
  <c r="D21" i="4"/>
  <c r="F28" i="7" l="1"/>
  <c r="G17" i="3"/>
  <c r="M18" i="5"/>
  <c r="M20" i="5" s="1"/>
  <c r="H22" i="7"/>
  <c r="I22" i="7" s="1"/>
  <c r="E20" i="7"/>
  <c r="P25" i="6"/>
  <c r="Q25" i="6" s="1"/>
  <c r="G30" i="7" s="1"/>
  <c r="G33" i="7"/>
  <c r="H29" i="7"/>
  <c r="I29" i="7" s="1"/>
  <c r="M13" i="11"/>
  <c r="O18" i="11"/>
  <c r="P23" i="6"/>
  <c r="Q23" i="6" s="1"/>
  <c r="X25" i="6"/>
  <c r="G24" i="7"/>
  <c r="K16" i="11"/>
  <c r="H16" i="11"/>
  <c r="E18" i="3"/>
  <c r="O18" i="5" l="1"/>
  <c r="O20" i="5" s="1"/>
  <c r="K13" i="5" s="1"/>
  <c r="H24" i="7"/>
  <c r="I24" i="7" s="1"/>
  <c r="L13" i="11"/>
  <c r="M18" i="11"/>
  <c r="G20" i="7"/>
  <c r="E28" i="7"/>
  <c r="L18" i="11" l="1"/>
  <c r="J13" i="11"/>
  <c r="H20" i="7"/>
  <c r="I20" i="7" s="1"/>
  <c r="G28" i="7"/>
  <c r="K13" i="11" l="1"/>
  <c r="K18" i="11" s="1"/>
  <c r="H13" i="11"/>
  <c r="G32" i="7"/>
  <c r="G34" i="7" s="1"/>
  <c r="H28" i="7"/>
  <c r="I28" i="7" s="1"/>
</calcChain>
</file>

<file path=xl/sharedStrings.xml><?xml version="1.0" encoding="utf-8"?>
<sst xmlns="http://schemas.openxmlformats.org/spreadsheetml/2006/main" count="768" uniqueCount="418">
  <si>
    <t>JASA SEWA ALAT BERAT PENDUKUNG OPERASIONAL SENORO &amp; TIAKA</t>
  </si>
  <si>
    <t>Contract No. 7207250142</t>
  </si>
  <si>
    <t>PT. BANGGAI SENTRAL SULAWESI</t>
  </si>
  <si>
    <t>WORK COMPLETION CERTIFICATE</t>
  </si>
  <si>
    <t xml:space="preserve">On the date of </t>
  </si>
  <si>
    <t>we on behalf of PT Banggai Sentral Sulawesi have completed the following job:</t>
  </si>
  <si>
    <t>WORK ORDER NUMBER</t>
  </si>
  <si>
    <t>:</t>
  </si>
  <si>
    <t>WORK ORDER TITLE</t>
  </si>
  <si>
    <t>CTR NUMBER</t>
  </si>
  <si>
    <t>DESCRIPTION</t>
  </si>
  <si>
    <t>☑ Penyelesaian Pekerjaan</t>
  </si>
  <si>
    <t>AMOUNT TOTAL</t>
  </si>
  <si>
    <t>The work has been properly completed as per requirement, witnessed and accepted by JOB Pertamina - Medco E&amp;P Tomori Sulawesi.</t>
  </si>
  <si>
    <t>Paisubololi,</t>
  </si>
  <si>
    <t>PT Banggai Sentral Sulawesi</t>
  </si>
  <si>
    <t>JOB Pertamina - Medco E&amp;P Tomori Sulawesi</t>
  </si>
  <si>
    <t>Prepared by,</t>
  </si>
  <si>
    <t>Reviewed by,</t>
  </si>
  <si>
    <t>Approved by,</t>
  </si>
  <si>
    <t>Onesimus Suriadi</t>
  </si>
  <si>
    <t>Ronny Dwi Purnomo / Rafik Hidayat</t>
  </si>
  <si>
    <t>Imron Maulana / Moh Bazarul</t>
  </si>
  <si>
    <t>General Service Manager</t>
  </si>
  <si>
    <t>Maintenance Support Supervisor</t>
  </si>
  <si>
    <t>Field Senior Manager</t>
  </si>
  <si>
    <t>Rafik Hidayat / Ronny Dwi Purnomo</t>
  </si>
  <si>
    <t>Moh Bazarul / Imron Maulana</t>
  </si>
  <si>
    <t>Maintenance Superintendent</t>
  </si>
  <si>
    <t>RINCIAN PENAWARAN HARGA</t>
  </si>
  <si>
    <t>JASA SEWA ALAT BERAT PENDUKUNG OPERASIONAL SENORO DAN TIAKA</t>
  </si>
  <si>
    <t>No.</t>
  </si>
  <si>
    <t>Kategory</t>
  </si>
  <si>
    <t>Description</t>
  </si>
  <si>
    <t>Qty</t>
  </si>
  <si>
    <t>Unit</t>
  </si>
  <si>
    <t>Rate</t>
  </si>
  <si>
    <t>Unit Price</t>
  </si>
  <si>
    <t>Total Price</t>
  </si>
  <si>
    <t>No.2</t>
  </si>
  <si>
    <t>A</t>
  </si>
  <si>
    <t>MONTHLY BASIS</t>
  </si>
  <si>
    <t>- MONTHLY BASIS</t>
  </si>
  <si>
    <t>-</t>
  </si>
  <si>
    <t>Jasa Sewa Alat Berat Monthly Basis (Include Operator, Rigger, Helper, BBM &amp; Sertifikasi), Truck Mounted Crane (TMC) Capacity 8 T</t>
  </si>
  <si>
    <t>Month</t>
  </si>
  <si>
    <t>Jasa Sewa Alat Berat Monthly Basis (Include Operator, Rigger, Helper, BBM &amp; Sertifikasi), Man Lift Capacity 227 Kg</t>
  </si>
  <si>
    <t>Jasa Sewa Alat Berat Monthly Basis (Include Operator, Rigger, Helper, BBM &amp; Sertifikasi), Mobile Crane Capacity 80 T</t>
  </si>
  <si>
    <t>Jasa Sewa Alat Berat Monthly Basis (Include Operator, Rigger, Helper, BBM &amp; Sertifikasi), Backhoe Loader 70 - 100 HP</t>
  </si>
  <si>
    <t>Jasa Sewa Alat Berat Monthly Basis (Include Operator, Rigger, Helper, BBM &amp; Sertifikasi), Vacuum Truck 10.000 L</t>
  </si>
  <si>
    <t>B</t>
  </si>
  <si>
    <t>ON CALL BASIS</t>
  </si>
  <si>
    <t>- ON CALL BASIS</t>
  </si>
  <si>
    <t>Jasa Sewa Alat Berat On Call Basis (Include Operator, Rigger, Helper, BBM &amp; Sertifikasi), Dump Truck 4 Ton min 120PS</t>
  </si>
  <si>
    <t>Day</t>
  </si>
  <si>
    <t>Jasa Sewa Alat Berat On Call Basis (Include Operator, Rigger, Helper, BBM &amp; Sertifikasi), Excavator 130-150 HP</t>
  </si>
  <si>
    <t>Jasa Sewa Alat Berat On Call Basis (Include Operator, Rigger, Helper, BBM &amp; Sertifikasi), Motor Grader 100 - 200 HP</t>
  </si>
  <si>
    <t>Jasa Sewa Alat Berat On Call Basis (Include Operator, Rigger, Helper, BBM &amp; Sertifikasi), Single Drum Compactor 10 Ton</t>
  </si>
  <si>
    <t>Jasa Sewa Alat Berat On Call Basis (Include Operator, Rigger, Helper, BBM &amp; Sertifikasi), Tank Truck 5000 L</t>
  </si>
  <si>
    <t>Jasa Sewa Alat Berat On Call Basis (Include Operator, Rigger, Helper, BBM &amp; Sertifikasi), Additional Mobile Crane Capacity 80T (On Call)</t>
  </si>
  <si>
    <t>Jasa Sewa Alat Berat On Call Basis (Include Operator, Rigger, Helper, BBM &amp; Sertifikasi), Mobile Crane Capacity 100T (On Call)</t>
  </si>
  <si>
    <t>Jasa Sewa Alat Berat On Call Basis (Include Operator, Rigger, Helper, BBM &amp; Sertifikasi), Telehandler Capacity 5T (On Call)</t>
  </si>
  <si>
    <t>Jasa Sewa Alat Berat On Call Basis (Include Operator, Rigger, Helper, BBM &amp; Sertifikasi), Telehandler Capacity 3T (On Call)</t>
  </si>
  <si>
    <t>C</t>
  </si>
  <si>
    <t>JASA MOBILISASI - DEMOBILISASI</t>
  </si>
  <si>
    <t>- JASA MOBILISASI - DEMOBILISASI</t>
  </si>
  <si>
    <t>Jasa Mob - Demob (Per Unit), Mobilisasi Semua Alat Berat Dari Luar Luwuk ke Luwuk (Monthly Basis)</t>
  </si>
  <si>
    <t>Trip</t>
  </si>
  <si>
    <t>AU</t>
  </si>
  <si>
    <t>Jasa Mob - Demob (Per Unit), Demobilisasi Semua Alat Berat Dari Luar Luwuk ke Luwuk (Monthly Basis)</t>
  </si>
  <si>
    <t>Jasa Mob - Demob (Per Unit), Mobilisasi &amp; Demobilisasi Alat Berat Crane dan Telehandler Dari Luar Luwuk ke Luwuk (On Call Basis)</t>
  </si>
  <si>
    <t>Jasa Mob - Demob (Per Unit), Mobilisasi Untuk Alat Berat Diluar TMC, Vacuum Truck, Dump Truck &amp; Tank Truck Dari Luwuk ke Senoro (Monthly dan On Call Basis) (Tronton/Trailer)</t>
  </si>
  <si>
    <t>Jasa Mob - Demob (Per Unit), Demobilisasi Untuk Alat Berat Diluar TMC, Vacuum Truck, Dump Truck &amp; Tank Truck Dari Luwuk ke Senoro (Monthly dan On Call Basis) (Tronton/Trailer)</t>
  </si>
  <si>
    <t>Jasa Mob -- Demob (Per Unit), Mobilisasi dan Demobilisasi Alat berat Antar Lokasi Area Senoro Dengan Tronton / Trailer / Low Bed (Monthly dan On Call Basis)</t>
  </si>
  <si>
    <t>D</t>
  </si>
  <si>
    <t>PROVISIONAL SUM</t>
  </si>
  <si>
    <t>- PROVISIONAL SUM</t>
  </si>
  <si>
    <t>Miscellanious (Pekerjaan Khusus)</t>
  </si>
  <si>
    <t>Lot</t>
  </si>
  <si>
    <t>Input Database</t>
  </si>
  <si>
    <t>No</t>
  </si>
  <si>
    <t>Item</t>
  </si>
  <si>
    <t>Input</t>
  </si>
  <si>
    <t>Contract No.</t>
  </si>
  <si>
    <t>7207250142</t>
  </si>
  <si>
    <t>Tender No</t>
  </si>
  <si>
    <t>S250551FLD-R1</t>
  </si>
  <si>
    <t>Contract Title</t>
  </si>
  <si>
    <t>Jasa Sewa Alat Berat Pendukung Operasional Senoro dan Tiaka</t>
  </si>
  <si>
    <t>Tanggal Contract</t>
  </si>
  <si>
    <t>16 Desember 2025</t>
  </si>
  <si>
    <t>Contract Period</t>
  </si>
  <si>
    <t>24 Month</t>
  </si>
  <si>
    <t>Proforma Invoice No.</t>
  </si>
  <si>
    <t>042/BSS-JOB/AB/VII/2026</t>
  </si>
  <si>
    <t>Tanggal Performa Invoice</t>
  </si>
  <si>
    <t>No PO</t>
  </si>
  <si>
    <t>Tanggal PO</t>
  </si>
  <si>
    <t>Keterangan PO</t>
  </si>
  <si>
    <t>“Jasa Sewa Backhoe Loader Untuk support Kegiatan Operation &amp; Maintenance di Area Senoro dan Tiaka Periode Juli - September 2026, Refer CTR No. 7207250142-BSS-CTR-2026-019" (01 - 31 Juli 2026)</t>
  </si>
  <si>
    <t>Pihak Pertama</t>
  </si>
  <si>
    <t>Alamat Pihak Pertama</t>
  </si>
  <si>
    <t>Bidakara Office Tower I 4Th Floor, Jl. Gatot Subroto Kav. 71 - 73, Jakarta 12870, Indonesia</t>
  </si>
  <si>
    <t>Diwakili Oleh</t>
  </si>
  <si>
    <t>Selaku</t>
  </si>
  <si>
    <t>Pihak Kedua</t>
  </si>
  <si>
    <t>Alamat Pihak Kedua</t>
  </si>
  <si>
    <t>Jl. Urip Sumorharjo No. 53, Luwuk, Kabupaten Banggai, Provinsi Sulawesi Tengah (94715), Indonesia</t>
  </si>
  <si>
    <t>Ir. Ferry Tatimu</t>
  </si>
  <si>
    <t>Director</t>
  </si>
  <si>
    <t>Period</t>
  </si>
  <si>
    <t>01 s/d 31 Juli 2026</t>
  </si>
  <si>
    <t>Certificate No. (Cover WCC No.)</t>
  </si>
  <si>
    <t>7207250142-BSS-WCC-2026-019</t>
  </si>
  <si>
    <t>WCC Date</t>
  </si>
  <si>
    <t>WO No.</t>
  </si>
  <si>
    <t>7207250142-BSS-WO-2026-019</t>
  </si>
  <si>
    <t>WO Title</t>
  </si>
  <si>
    <t>CTR No.</t>
  </si>
  <si>
    <t>7207250142-BSS-CTR-2026-019</t>
  </si>
  <si>
    <t>Prepared by Name</t>
  </si>
  <si>
    <t>Prepared by Tiltle</t>
  </si>
  <si>
    <t>Proforma Invoice</t>
  </si>
  <si>
    <t>TO</t>
  </si>
  <si>
    <t>PI No</t>
  </si>
  <si>
    <t>Date</t>
  </si>
  <si>
    <t>Contract No</t>
  </si>
  <si>
    <t>Contract Duration</t>
  </si>
  <si>
    <t>Attn</t>
  </si>
  <si>
    <t>Attn. : Accounts Payable - Finance Department</t>
  </si>
  <si>
    <t>Duration</t>
  </si>
  <si>
    <t>Percent</t>
  </si>
  <si>
    <t>Unit Price (IDR)</t>
  </si>
  <si>
    <t>TOTAL (IDR)</t>
  </si>
  <si>
    <t>a</t>
  </si>
  <si>
    <t>b</t>
  </si>
  <si>
    <t>c</t>
  </si>
  <si>
    <t>d</t>
  </si>
  <si>
    <t>e</t>
  </si>
  <si>
    <t>f</t>
  </si>
  <si>
    <t>g</t>
  </si>
  <si>
    <t>h</t>
  </si>
  <si>
    <t>i=c×e×h</t>
  </si>
  <si>
    <t>1</t>
  </si>
  <si>
    <t>Total</t>
  </si>
  <si>
    <t>Terbilang</t>
  </si>
  <si>
    <t>PAYMENT INSTRUCTION</t>
  </si>
  <si>
    <t>Please remit to our bank:</t>
  </si>
  <si>
    <t>Account Name</t>
  </si>
  <si>
    <t>T. BANGGAI SENTRAL SULAWESI</t>
  </si>
  <si>
    <t>Bank Name</t>
  </si>
  <si>
    <t>BANK RAKYAT INDONESIA (PERSERO) Tbk.</t>
  </si>
  <si>
    <t>Branch</t>
  </si>
  <si>
    <t>Cabang Luwuk</t>
  </si>
  <si>
    <t>Account No</t>
  </si>
  <si>
    <t>0167 0167 8888 303</t>
  </si>
  <si>
    <t>BERITA ACARA PEKERJAAN / OPNAME</t>
  </si>
  <si>
    <t>DATE</t>
  </si>
  <si>
    <t>TITLE OF WORK ORDER</t>
  </si>
  <si>
    <t>NILAI KONTRAK (CTR)</t>
  </si>
  <si>
    <t>KUMULATIF LALU (PREVIOUS)</t>
  </si>
  <si>
    <t>AKTUAL OPNAME (BULAN INI)</t>
  </si>
  <si>
    <t>SISA ANGGARAN (DEVIASI)</t>
  </si>
  <si>
    <t>NO.</t>
  </si>
  <si>
    <t>ITEM - DESCRIPTION</t>
  </si>
  <si>
    <t>Qty-Unit</t>
  </si>
  <si>
    <t>Uom</t>
  </si>
  <si>
    <t>BASE ON CTR</t>
  </si>
  <si>
    <t>PREVIOUS OPNAME</t>
  </si>
  <si>
    <t>AKTUAL OPNAME</t>
  </si>
  <si>
    <t>CUMMULATIVE OPNAME</t>
  </si>
  <si>
    <t>DEVIASI</t>
  </si>
  <si>
    <t>Volume</t>
  </si>
  <si>
    <t>Price</t>
  </si>
  <si>
    <t>1.1</t>
  </si>
  <si>
    <t>TOTAL</t>
  </si>
  <si>
    <t>Catatan / Notes:</t>
  </si>
  <si>
    <t>JOB PERTAMINA - MEDCO E&amp;P TOMORI SULAWESI</t>
  </si>
  <si>
    <t>Manager General Services</t>
  </si>
  <si>
    <t>PT.BANGGAI SENTRAL SULAWESI</t>
  </si>
  <si>
    <t>Jl.Urip Sumoharjo No 53 Luwuk, Kabupaten Banggai, Propinsi Sulawesi Tengah</t>
  </si>
  <si>
    <t>RINCIAN PEKERJAAN</t>
  </si>
  <si>
    <t>Rincian Pekerjaan</t>
  </si>
  <si>
    <t>Ditujukan Kepada</t>
  </si>
  <si>
    <t>Nomor Kontrak</t>
  </si>
  <si>
    <t>Nomor PO</t>
  </si>
  <si>
    <t>Nama Kontrak</t>
  </si>
  <si>
    <t>Descripton PO</t>
  </si>
  <si>
    <t>Nomor Tender</t>
  </si>
  <si>
    <t>Tanggal Proforma</t>
  </si>
  <si>
    <t>Mata Uang</t>
  </si>
  <si>
    <t>IDR</t>
  </si>
  <si>
    <t>Kategori</t>
  </si>
  <si>
    <t>Spesifikasi / Deskripsi</t>
  </si>
  <si>
    <t>Out</t>
  </si>
  <si>
    <t>Tanggal</t>
  </si>
  <si>
    <t>Aktual</t>
  </si>
  <si>
    <t>Harga Satuan (Rp)</t>
  </si>
  <si>
    <t>Total Harga (Rp)</t>
  </si>
  <si>
    <t>Keterangan Pekerjaan</t>
  </si>
  <si>
    <t>TKDN Komponen  Jasa</t>
  </si>
  <si>
    <t>KOMPONEN BUKAN BIAYA</t>
  </si>
  <si>
    <t>KLN Komponen  Jasa</t>
  </si>
  <si>
    <t>Tgl Mulai</t>
  </si>
  <si>
    <t>Tgl Selesai</t>
  </si>
  <si>
    <t>Biaya Bahan (Material) Terpakai</t>
  </si>
  <si>
    <t>Biaya Tenaga Kerja &amp; Konsultan</t>
  </si>
  <si>
    <t>Biaya Alat Kerja/Fasilitas Kerja</t>
  </si>
  <si>
    <t>Biaya Jasa Umum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</si>
  <si>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</si>
  <si>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</si>
  <si>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</si>
  <si>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</si>
  <si>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</si>
  <si>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</si>
  <si>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</si>
  <si>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</si>
  <si>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</si>
  <si>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</si>
  <si>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</si>
  <si>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</si>
  <si>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</si>
  <si>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</si>
  <si>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Alat Beroperasi Periode 01 sd 31 Juli 2026</t>
  </si>
  <si>
    <t>TOTAL TAGIHAN</t>
  </si>
  <si>
    <t>Tebilang :</t>
  </si>
  <si>
    <t>AUTHORITY PT.BANGGAI SENTRAL SULAWESI</t>
  </si>
  <si>
    <t>DIBUAT OLEH</t>
  </si>
  <si>
    <t>DIPERIKSA</t>
  </si>
  <si>
    <t>( Yanuar Wiranata / Ireine Langi )</t>
  </si>
  <si>
    <t>Supervisor</t>
  </si>
  <si>
    <t>( Ireine Langi / Yanuar Wiranata)</t>
  </si>
  <si>
    <t>PT BANGGAI SENTRAL SULAWESI</t>
  </si>
  <si>
    <t>General Contractor and Suppliers</t>
  </si>
  <si>
    <t>TABEL PERHITUNGAN TINGKAT KOMPONEN DALAM NEGERI - JASA</t>
  </si>
  <si>
    <t>SELF - ASSESSMENT</t>
  </si>
  <si>
    <t>Judul Kontrak</t>
  </si>
  <si>
    <t>Nama Penyedia Barang / Jasa</t>
  </si>
  <si>
    <t>A. Komponen Biaya
(Cost Component)</t>
  </si>
  <si>
    <t>Mata
Uang</t>
  </si>
  <si>
    <t>Perincian Nilai Biaya (Cost Summary)</t>
  </si>
  <si>
    <t>TKDN</t>
  </si>
  <si>
    <t>KDN</t>
  </si>
  <si>
    <t>KLN</t>
  </si>
  <si>
    <t>%</t>
  </si>
  <si>
    <t>Nilai TKDN</t>
  </si>
  <si>
    <t>d = b + c</t>
  </si>
  <si>
    <t>e = b / d</t>
  </si>
  <si>
    <t>f = d x e</t>
  </si>
  <si>
    <t>I.</t>
  </si>
  <si>
    <t>Rp</t>
  </si>
  <si>
    <t>(material used cost)</t>
  </si>
  <si>
    <t>US$</t>
  </si>
  <si>
    <t>II.</t>
  </si>
  <si>
    <t>(personnel &amp; consultant cost)</t>
  </si>
  <si>
    <t>III.</t>
  </si>
  <si>
    <t>Biaya Alat Kerja / Fasilitas Kerja</t>
  </si>
  <si>
    <t>(equipment &amp; work facility cost)</t>
  </si>
  <si>
    <t>IV.</t>
  </si>
  <si>
    <t>(other services cost)</t>
  </si>
  <si>
    <t>V.</t>
  </si>
  <si>
    <t>JUMLAH BIAYA (Σ I s/d IV)</t>
  </si>
  <si>
    <t>(Total Cost) (Σ I s/d IV)</t>
  </si>
  <si>
    <t>B.</t>
  </si>
  <si>
    <t>(Non-cost Component)</t>
  </si>
  <si>
    <t>C.</t>
  </si>
  <si>
    <t>JUMLAH NILAI</t>
  </si>
  <si>
    <t>(Total Value)</t>
  </si>
  <si>
    <t>Catatan:</t>
  </si>
  <si>
    <t>•  Isi hanya pada kolom yang berwarna kuning pastel.</t>
  </si>
  <si>
    <t>•  Formulasi perhitungan mengacu pada Permen ESDM No. 15 Tahun 2013.</t>
  </si>
  <si>
    <t>Luwuk, 06 Juni 2026</t>
  </si>
  <si>
    <t>PT. Banggai Sentral Sulawesi</t>
  </si>
  <si>
    <t>Direktur</t>
  </si>
  <si>
    <t>Head Office: Jl. Urip Sumoharjo 53, Luwuk 94715, Phone: 0461-21025, 21185, 21307, Fax: 0461-325241, email: Luwuk@ptbss.com</t>
  </si>
  <si>
    <t>Representative Office: Jl. Nginden Intan Tengah Blok F1- 47, Surabaya 60118, Phone : 031-5925721</t>
  </si>
  <si>
    <t>BERITA ACARA MULAI PEKERJAAN (BAMP)</t>
  </si>
  <si>
    <t>01.  PIHAK PERTAMA</t>
  </si>
  <si>
    <t>tanggal / bulan / tahun</t>
  </si>
  <si>
    <t>Convert</t>
  </si>
  <si>
    <t xml:space="preserve">Pada hari ini </t>
  </si>
  <si>
    <t>Nama Perusahaan</t>
  </si>
  <si>
    <t>tanggal</t>
  </si>
  <si>
    <t>Alamat</t>
  </si>
  <si>
    <t>REFERENSI PELAKSANAAN PEKERJAAN :</t>
  </si>
  <si>
    <t>Sunday</t>
  </si>
  <si>
    <t>Minggu</t>
  </si>
  <si>
    <t>bulan</t>
  </si>
  <si>
    <t>Diwakili oleh</t>
  </si>
  <si>
    <t>Nomor Kontrak.</t>
  </si>
  <si>
    <t>Monday</t>
  </si>
  <si>
    <t>Senin</t>
  </si>
  <si>
    <t>tahun</t>
  </si>
  <si>
    <t>Tanggal Kontrak</t>
  </si>
  <si>
    <t>Jabatan</t>
  </si>
  <si>
    <t>Nomor Purchase Order</t>
  </si>
  <si>
    <t>Tuesday</t>
  </si>
  <si>
    <t>Selasa</t>
  </si>
  <si>
    <t>yang bertanda tangan di bawah ini:</t>
  </si>
  <si>
    <t>Tanggal Purchase Order</t>
  </si>
  <si>
    <t>Nomor  Surat Perintah Kerja</t>
  </si>
  <si>
    <t>Wednesday</t>
  </si>
  <si>
    <t>Rabu</t>
  </si>
  <si>
    <t>Tanggal Surat Perintah Kerja</t>
  </si>
  <si>
    <t>02.  PIHAK KEDUA</t>
  </si>
  <si>
    <t>Nomor Service Order</t>
  </si>
  <si>
    <t>Thursday</t>
  </si>
  <si>
    <t>Kamis</t>
  </si>
  <si>
    <t>Tanggal Services Order</t>
  </si>
  <si>
    <t>Nomor Work Order</t>
  </si>
  <si>
    <t>Friday</t>
  </si>
  <si>
    <t>Jum'at</t>
  </si>
  <si>
    <t>Tanggal Work Order</t>
  </si>
  <si>
    <t>Nomor Surat Penawaran</t>
  </si>
  <si>
    <t>Saturday</t>
  </si>
  <si>
    <t>Sabtu</t>
  </si>
  <si>
    <t>Tanggal Surat Penawaran</t>
  </si>
  <si>
    <t>Email</t>
  </si>
  <si>
    <t>Tanggal Email</t>
  </si>
  <si>
    <t>WhatSapp</t>
  </si>
  <si>
    <t>Tanggal WhatSapp</t>
  </si>
  <si>
    <t>-----</t>
  </si>
  <si>
    <t>DASAR PELAKSANAAN PEKERJAAN</t>
  </si>
  <si>
    <t>Referensi</t>
  </si>
  <si>
    <t>Lingkup Pekerjaan</t>
  </si>
  <si>
    <t>Dengan ini PIHAK KEDUA memulai melaksanakan pekerjaan dengan rincian sebagai berikut:</t>
  </si>
  <si>
    <t>NO</t>
  </si>
  <si>
    <t>KETERANGAN PEKERJAAN</t>
  </si>
  <si>
    <t>JUMLAH</t>
  </si>
  <si>
    <t>SATUAN</t>
  </si>
  <si>
    <t>CATATAN</t>
  </si>
  <si>
    <t>Mulai Operasi Tanggal 01 Juli 2026</t>
  </si>
  <si>
    <t>Demikian Berita Acara Mulai Pekerjaan ini dibuat dan ditandatangani oleh kedua belah pihak untuk dipergunakan sebagaimana mestinya.</t>
  </si>
  <si>
    <t>PIHAK PERTAMA</t>
  </si>
  <si>
    <t>PIHAK KEDUA</t>
  </si>
  <si>
    <t>Dokumen No: FM-GS-15 Rev:03</t>
  </si>
  <si>
    <t>Aldito Fauzi Roe / Aryanto Yoga</t>
  </si>
  <si>
    <t>Aryanto Yoga / Aldito Fauzi Roe</t>
  </si>
  <si>
    <t>BERITA ACARA SELESAI PEKERJAAN (BASP)</t>
  </si>
  <si>
    <t>Dengan ini PIHAK KEDUA telah selesai  melaksanakan pekerjaan dengan rincian sebagai berikut:</t>
  </si>
  <si>
    <t>Operasi Periode 01 sd 31 Juli 2026</t>
  </si>
  <si>
    <t>Demikian Berita Acara Selesai Pekerjaan ini dibuat dan ditandatangani oleh kedua belah pihak untuk dipergunakan sebagaimana mestinya.</t>
  </si>
  <si>
    <t>Dokumen No: FM-GS-14 Rev:03</t>
  </si>
  <si>
    <t>PT. BANGGAI SENTRAL SULAWESI JL. URIP SUMOHARJO NO. 53. TELP 0461-21025, 21185, 21307. LUWUK</t>
  </si>
  <si>
    <t>REKAP TIME SHEET PERALATAN</t>
  </si>
  <si>
    <t>Customer / User</t>
  </si>
  <si>
    <t>Kontrak / SO No.</t>
  </si>
  <si>
    <t>Proyek</t>
  </si>
  <si>
    <t>Sub Pekerjaan</t>
  </si>
  <si>
    <t>Periode</t>
  </si>
  <si>
    <t>Nomor Alat / Status</t>
  </si>
  <si>
    <t>O</t>
  </si>
  <si>
    <t>S</t>
  </si>
  <si>
    <t>R</t>
  </si>
  <si>
    <t>M</t>
  </si>
  <si>
    <t>Jasa Sewa Alat Berat Monthly Basis  (include operator,rigger,helper, maintenance, BBM &amp; sertifikasi)</t>
  </si>
  <si>
    <t>Jasa Sewa Alat Berat On Call Basis (include operator,rigger,helper, maintenance, BBM &amp; sertifikasi)</t>
  </si>
  <si>
    <t>Boom Truck ( TMC ) 8 ton</t>
  </si>
  <si>
    <t xml:space="preserve">KODE STATUS  :  </t>
  </si>
  <si>
    <t>Operation</t>
  </si>
  <si>
    <t>Standby</t>
  </si>
  <si>
    <t>Perbaikan</t>
  </si>
  <si>
    <t>Mobilisasi</t>
  </si>
  <si>
    <t xml:space="preserve">GRAND TOTAL  </t>
  </si>
  <si>
    <t>NOTE :</t>
  </si>
  <si>
    <t>User</t>
  </si>
  <si>
    <t>PT, Banggai Sentral Sulawesi</t>
  </si>
  <si>
    <t>Dibuat</t>
  </si>
  <si>
    <t>Diperiksa</t>
  </si>
  <si>
    <t>Disetujui</t>
  </si>
  <si>
    <t>Elvira Sutrisno</t>
  </si>
  <si>
    <t>Ireine Langi</t>
  </si>
  <si>
    <t>FM-GS-06 Rev.03</t>
  </si>
  <si>
    <t>Nur Afiata</t>
  </si>
  <si>
    <t>Yanuar Wiranata</t>
  </si>
  <si>
    <t>Komang Andi</t>
  </si>
  <si>
    <t>Handry Panggato</t>
  </si>
  <si>
    <t>Tender No S210104/JOBT/FLD, Jasa Sewa Alat Berat Pendukung Operasional Senoro</t>
  </si>
  <si>
    <t>QTY ITEM</t>
  </si>
  <si>
    <t>PRICE 
( IDR )</t>
  </si>
  <si>
    <t>TOTAL PRICE 
( IDR )</t>
  </si>
  <si>
    <t>HARGA PENAWARAN SUDAH TERMASUK PROFIT</t>
  </si>
  <si>
    <t>TOTAL BIAYA OPERASIONAL</t>
  </si>
  <si>
    <t>LEMBUR</t>
  </si>
  <si>
    <t>Profit  dari Biaya Operasional</t>
  </si>
  <si>
    <t>HPP BIAYA OPERASIONAL</t>
  </si>
  <si>
    <t>Harga Sewa</t>
  </si>
  <si>
    <t>BIAYA OPERASIONAL ( sesuai lampiran )</t>
  </si>
  <si>
    <t>BIAYA BBM</t>
  </si>
  <si>
    <t xml:space="preserve">TTL TUNJANGAN </t>
  </si>
  <si>
    <t>UPAH TENAGA KERJA</t>
  </si>
  <si>
    <t>MCU</t>
  </si>
  <si>
    <t>APD</t>
  </si>
  <si>
    <t>SERTIFIKASI</t>
  </si>
  <si>
    <t>TENGKI SOLAR DAN MOBIL OPERASIONAL DAN PORTACAMP</t>
  </si>
  <si>
    <t>SERVICES DAN PEMELIHARAAN</t>
  </si>
  <si>
    <t>A.</t>
  </si>
  <si>
    <t>E=A+D</t>
  </si>
  <si>
    <t>D= B+C</t>
  </si>
  <si>
    <t>C = B*25%</t>
  </si>
  <si>
    <t>E</t>
  </si>
  <si>
    <t>C+D</t>
  </si>
  <si>
    <t>F</t>
  </si>
  <si>
    <t>G</t>
  </si>
  <si>
    <t>H</t>
  </si>
  <si>
    <t>Jasa</t>
  </si>
  <si>
    <t>Jasa + Fee</t>
  </si>
  <si>
    <t>Barang</t>
  </si>
  <si>
    <t>Barang + fee</t>
  </si>
  <si>
    <t>Boom Truck Tronton 8 Ton</t>
  </si>
  <si>
    <t>MON</t>
  </si>
  <si>
    <t>Man lift Capacity 227 kg</t>
  </si>
  <si>
    <t>Mobile Crane 70T - 80T</t>
  </si>
  <si>
    <t>Backhoe Loader 70 - 100 HP</t>
  </si>
  <si>
    <t>Vacuum Truck 10.000 L</t>
  </si>
  <si>
    <t>SUB TOTAL A</t>
  </si>
  <si>
    <t>=OFFSET(Helper!$B$1,0,MATCH(B17,Helper!$A:$A,0)-1,COUNTA(OFFSET(Helper!$B$1,0,MATCH(B17,Helper!$A:$A,0)-1,1000,1)),1)</t>
  </si>
  <si>
    <t>Jasa Sewa Backhoe Loader untuk Support Kegiatan Operation dan Maintenance di Area Senoro dan Tiaka Periode Juli - September 2026 (01 - 31 Juli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</si>
</sst>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(&quot;Rp&quot;* #,##0_);_(&quot;Rp&quot;* \(#,##0\);_(&quot;Rp&quot;* &quot;-&quot;_);_(@_)"/>
    <numFmt numFmtId="41" formatCode="_(* #,##0_);_(* \(#,##0\);_(* &quot;-&quot;_);_(@_)"/>
    <numFmt numFmtId="44" formatCode="_(&quot;Rp&quot;* #,##0.00_);_(&quot;Rp&quot;* \(#,##0.00\);_(&quot;Rp&quot;* &quot;-&quot;??_);_(@_)"/>
    <numFmt numFmtId="43" formatCode="_(* #,##0.00_);_(* \(#,##0.00\);_(* &quot;-&quot;??_);_(@_)"/>
    <numFmt numFmtId="164" formatCode="[$-13809]dd\ mmmm\ yyyy;@"/>
    <numFmt numFmtId="165" formatCode="@\ * \:"/>
    <numFmt numFmtId="166" formatCode="_-* #,##0.00_-;\-* #,##0.00_-;_-* &quot;-&quot;??_-;_-@_-"/>
    <numFmt numFmtId="167" formatCode="\R\p\ #,##0_-;\-\R\p\ #,##0_-;&quot;-&quot;_-;_-@_-"/>
    <numFmt numFmtId="168" formatCode="@* &quot;:&quot;"/>
    <numFmt numFmtId="169" formatCode="_([$Rp-421]* #,##0_);_([$Rp-421]* \(#,##0\);_([$Rp-421]* &quot;-&quot;??_);_(@_)"/>
    <numFmt numFmtId="170" formatCode="#,##0.0"/>
    <numFmt numFmtId="171" formatCode="&quot;Rp &quot;#,##0"/>
    <numFmt numFmtId="172" formatCode="_-* #,##0_-;\-* #,##0_-;_-* &quot;-&quot;_-;_-@_-"/>
    <numFmt numFmtId="173" formatCode="0.0%"/>
    <numFmt numFmtId="174" formatCode="_(* #,##0_);_(* \(#,##0\);_(* &quot;-&quot;??_);_(@_)"/>
    <numFmt numFmtId="175" formatCode="_-* #,##0.0_-;\-* #,##0.0_-;_-* &quot;-&quot;?_-;_-@_-"/>
    <numFmt numFmtId="176" formatCode="_(* #,##0.00_);_(* \(#,##0.00\);_(* &quot;-&quot;_);_(@_)"/>
    <numFmt numFmtId="177" formatCode="[$-13809]d\ mmm\ yyyy;@"/>
  </numFmts>
  <fonts count="10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595959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u/>
      <sz val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0"/>
      <name val="Calibri"/>
      <family val="2"/>
    </font>
    <font>
      <b/>
      <sz val="11"/>
      <color theme="1"/>
      <name val="Calibri"/>
      <family val="2"/>
      <scheme val="minor"/>
    </font>
    <font>
      <i/>
      <sz val="9"/>
      <color rgb="FF595959"/>
      <name val="Segoe UI"/>
      <family val="2"/>
    </font>
    <font>
      <b/>
      <sz val="16"/>
      <color rgb="FF1B365D"/>
      <name val="Segoe UI"/>
      <family val="2"/>
    </font>
    <font>
      <sz val="11"/>
      <color rgb="FF262626"/>
      <name val="Segoe UI"/>
      <family val="2"/>
    </font>
    <font>
      <b/>
      <sz val="10"/>
      <name val="Arial"/>
      <family val="2"/>
    </font>
    <font>
      <b/>
      <sz val="11"/>
      <color rgb="FF1B365D"/>
      <name val="Segoe UI"/>
      <family val="2"/>
    </font>
    <font>
      <b/>
      <sz val="11"/>
      <color rgb="FF262626"/>
      <name val="Segoe UI"/>
      <family val="2"/>
    </font>
    <font>
      <i/>
      <sz val="11"/>
      <color rgb="FF262626"/>
      <name val="Segoe UI"/>
      <family val="2"/>
    </font>
    <font>
      <sz val="10"/>
      <color rgb="FF262626"/>
      <name val="Segoe UI"/>
      <family val="2"/>
    </font>
    <font>
      <b/>
      <u/>
      <sz val="11"/>
      <color rgb="FF1B365D"/>
      <name val="Segoe UI"/>
      <family val="2"/>
    </font>
    <font>
      <sz val="9"/>
      <color rgb="FF262626"/>
      <name val="Segoe UI"/>
      <family val="2"/>
    </font>
    <font>
      <b/>
      <sz val="14"/>
      <color rgb="FF0F4C5C"/>
      <name val="Segoe UI"/>
      <family val="2"/>
    </font>
    <font>
      <b/>
      <sz val="11"/>
      <color rgb="FF333333"/>
      <name val="Segoe UI"/>
      <family val="2"/>
    </font>
    <font>
      <b/>
      <sz val="10"/>
      <color rgb="FF1A1A1A"/>
      <name val="Segoe UI"/>
      <family val="2"/>
    </font>
    <font>
      <sz val="10"/>
      <color rgb="FF1A1A1A"/>
      <name val="Segoe UI"/>
      <family val="2"/>
    </font>
    <font>
      <b/>
      <i/>
      <sz val="9"/>
      <color rgb="FF0F4C5C"/>
      <name val="Segoe UI"/>
      <family val="2"/>
    </font>
    <font>
      <b/>
      <sz val="11"/>
      <color rgb="FF0F4C5C"/>
      <name val="Segoe UI"/>
      <family val="2"/>
    </font>
    <font>
      <b/>
      <u/>
      <sz val="10"/>
      <color rgb="FF0F4C5C"/>
      <name val="Segoe UI"/>
      <family val="2"/>
    </font>
    <font>
      <b/>
      <sz val="18"/>
      <color rgb="FF00153E"/>
      <name val="Century Gothic"/>
      <family val="2"/>
    </font>
    <font>
      <b/>
      <sz val="11"/>
      <color rgb="FF00153E"/>
      <name val="Century Gothic"/>
      <family val="2"/>
    </font>
    <font>
      <b/>
      <sz val="7"/>
      <color rgb="FF00153E"/>
      <name val="Arial"/>
      <family val="2"/>
    </font>
    <font>
      <b/>
      <sz val="14"/>
      <color rgb="FF1B365D"/>
      <name val="Segoe UI"/>
      <family val="2"/>
    </font>
    <font>
      <b/>
      <sz val="9"/>
      <color rgb="FF595959"/>
      <name val="Segoe UI"/>
      <family val="2"/>
    </font>
    <font>
      <sz val="13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sz val="16"/>
      <name val="Segoe UI"/>
      <family val="2"/>
    </font>
    <font>
      <b/>
      <sz val="11"/>
      <name val="Calibri"/>
      <family val="2"/>
    </font>
    <font>
      <sz val="10"/>
      <name val="Segoe UI"/>
      <family val="2"/>
    </font>
    <font>
      <sz val="11"/>
      <name val="Calibri"/>
      <family val="2"/>
      <scheme val="minor"/>
    </font>
    <font>
      <b/>
      <sz val="10"/>
      <color rgb="FF0F172A"/>
      <name val="Calibri"/>
      <family val="2"/>
    </font>
    <font>
      <b/>
      <sz val="9"/>
      <color rgb="FF475569"/>
      <name val="Calibri"/>
      <family val="2"/>
    </font>
    <font>
      <b/>
      <sz val="13"/>
      <color rgb="FF1E3A8A"/>
      <name val="Calibri"/>
      <family val="2"/>
    </font>
    <font>
      <sz val="10"/>
      <color rgb="FF334155"/>
      <name val="Calibri"/>
      <family val="2"/>
    </font>
    <font>
      <b/>
      <sz val="10"/>
      <color theme="1"/>
      <name val="Calibri"/>
      <family val="2"/>
    </font>
    <font>
      <b/>
      <sz val="10"/>
      <name val="Segoe U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8"/>
      <color rgb="FF1B365D"/>
      <name val="Calibri"/>
      <family val="2"/>
    </font>
    <font>
      <b/>
      <u/>
      <sz val="10"/>
      <color rgb="FF000000"/>
      <name val="Calibri"/>
      <family val="2"/>
    </font>
    <font>
      <sz val="11"/>
      <color indexed="8"/>
      <name val="Calibri"/>
      <family val="2"/>
      <charset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sz val="16"/>
      <color indexed="8"/>
      <name val="Arial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b/>
      <sz val="8"/>
      <name val="Arial"/>
      <family val="2"/>
    </font>
    <font>
      <b/>
      <sz val="7"/>
      <name val="Arial"/>
      <family val="2"/>
    </font>
    <font>
      <b/>
      <sz val="7"/>
      <color rgb="FFFF0000"/>
      <name val="Arial"/>
      <family val="2"/>
    </font>
    <font>
      <sz val="10"/>
      <color indexed="8"/>
      <name val="Calibri"/>
      <family val="2"/>
    </font>
    <font>
      <b/>
      <sz val="7.5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color rgb="FFFF0000"/>
      <name val="Calibri"/>
      <family val="2"/>
      <charset val="1"/>
    </font>
    <font>
      <sz val="8"/>
      <color indexed="8"/>
      <name val="Calibri"/>
      <family val="2"/>
      <charset val="1"/>
    </font>
    <font>
      <b/>
      <sz val="8"/>
      <color indexed="8"/>
      <name val="Arial Narrow"/>
      <family val="2"/>
    </font>
    <font>
      <sz val="11"/>
      <color indexed="8"/>
      <name val="Calibri"/>
      <family val="2"/>
    </font>
    <font>
      <b/>
      <sz val="8"/>
      <color indexed="8"/>
      <name val="Calibri"/>
      <family val="2"/>
    </font>
    <font>
      <b/>
      <sz val="9"/>
      <color indexed="8"/>
      <name val="Arial"/>
      <family val="2"/>
    </font>
    <font>
      <b/>
      <u/>
      <sz val="10"/>
      <color rgb="FF0F172A"/>
      <name val="Calibri"/>
      <family val="2"/>
    </font>
    <font>
      <i/>
      <sz val="9"/>
      <color rgb="FF555555"/>
      <name val="Calibri"/>
      <family val="2"/>
    </font>
    <font>
      <b/>
      <sz val="14"/>
      <color rgb="FF555555"/>
      <name val="Segoe UI"/>
      <family val="2"/>
    </font>
    <font>
      <b/>
      <sz val="10"/>
      <color rgb="FF1B365D"/>
      <name val="Calibri"/>
      <family val="2"/>
    </font>
    <font>
      <i/>
      <sz val="11"/>
      <color theme="1"/>
      <name val="Segoe U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name val="Segoe UI"/>
      <family val="2"/>
    </font>
    <font>
      <b/>
      <sz val="11"/>
      <color theme="1"/>
      <name val="Calibri"/>
      <family val="2"/>
    </font>
    <font>
      <b/>
      <i/>
      <sz val="9"/>
      <color theme="1"/>
      <name val="Calibri"/>
      <family val="2"/>
    </font>
    <font>
      <sz val="9"/>
      <color theme="1"/>
      <name val="Segoe UI"/>
      <family val="2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sz val="9"/>
      <name val="Segoe UI"/>
      <family val="2"/>
    </font>
    <font>
      <b/>
      <sz val="14"/>
      <name val="Arial"/>
      <family val="2"/>
    </font>
    <font>
      <b/>
      <sz val="9"/>
      <name val="Segoe UI"/>
      <family val="2"/>
    </font>
    <font>
      <sz val="11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F2F5F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EF5"/>
        <bgColor rgb="FFE8EEF5"/>
      </patternFill>
    </fill>
    <fill>
      <patternFill patternType="solid">
        <fgColor rgb="FFEAEDF0"/>
        <bgColor rgb="FFEAEDF0"/>
      </patternFill>
    </fill>
    <fill>
      <patternFill patternType="solid">
        <fgColor rgb="FFFFF9D6"/>
        <bgColor rgb="FFFFF9D6"/>
      </patternFill>
    </fill>
    <fill>
      <patternFill patternType="solid">
        <fgColor rgb="FFF6F8FA"/>
        <bgColor rgb="FFF6F8FA"/>
      </patternFill>
    </fill>
    <fill>
      <patternFill patternType="solid">
        <fgColor rgb="FFE5F1F4"/>
        <bgColor rgb="FFE5F1F4"/>
      </patternFill>
    </fill>
    <fill>
      <patternFill patternType="solid">
        <fgColor rgb="FFDCEAEF"/>
        <bgColor rgb="FFDCEAE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BF2F7"/>
      </patternFill>
    </fill>
    <fill>
      <patternFill patternType="solid">
        <fgColor rgb="FFF1F5F9"/>
      </patternFill>
    </fill>
    <fill>
      <patternFill patternType="solid">
        <fgColor indexed="22"/>
        <bgColor indexed="64"/>
      </patternFill>
    </fill>
    <fill>
      <patternFill patternType="solid">
        <fgColor rgb="FFF4F6F9"/>
        <bgColor rgb="FFF4F6F9"/>
      </patternFill>
    </fill>
    <fill>
      <patternFill patternType="solid">
        <fgColor theme="0"/>
        <bgColor rgb="FFE8EEF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rgb="FF1B365D"/>
      </patternFill>
    </fill>
    <fill>
      <patternFill patternType="solid">
        <fgColor theme="3" tint="0.89999084444715716"/>
        <bgColor rgb="FF1B365D"/>
      </patternFill>
    </fill>
    <fill>
      <patternFill patternType="solid">
        <fgColor theme="3" tint="0.89999084444715716"/>
        <bgColor rgb="FF335C8D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2F5F8"/>
      </patternFill>
    </fill>
    <fill>
      <patternFill patternType="solid">
        <fgColor rgb="FF0070C0"/>
        <bgColor indexed="64"/>
      </patternFill>
    </fill>
    <fill>
      <patternFill patternType="solid">
        <fgColor rgb="FFEEF5FC"/>
        <bgColor indexed="64"/>
      </patternFill>
    </fill>
    <fill>
      <patternFill patternType="solid">
        <fgColor rgb="FFEEF5FC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rgb="FF1F4E78"/>
      </patternFill>
    </fill>
    <fill>
      <patternFill patternType="solid">
        <fgColor theme="4" tint="0.79998168889431442"/>
        <bgColor rgb="FF0F4C5C"/>
      </patternFill>
    </fill>
  </fills>
  <borders count="1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1B365D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7DE"/>
      </left>
      <right style="thin">
        <color rgb="FFD0D7DE"/>
      </right>
      <top style="medium">
        <color rgb="FF0F4C5C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0F4C5C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double">
        <color rgb="FF0F4C5C"/>
      </bottom>
      <diagonal/>
    </border>
    <border>
      <left/>
      <right/>
      <top style="medium">
        <color rgb="FF0F4C5C"/>
      </top>
      <bottom/>
      <diagonal/>
    </border>
    <border>
      <left/>
      <right style="thin">
        <color rgb="FFD0D7DE"/>
      </right>
      <top style="medium">
        <color rgb="FF0F4C5C"/>
      </top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rgb="FFD9D9D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1B365D"/>
      </left>
      <right style="thin">
        <color rgb="FFD9D9D9"/>
      </right>
      <top style="thin">
        <color rgb="FFD9D9D9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thin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thin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ck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medium">
        <color theme="0" tint="-0.34998626667073579"/>
      </bottom>
      <diagonal/>
    </border>
    <border>
      <left style="thick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ck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thick">
        <color theme="0" tint="-0.24994659260841701"/>
      </left>
      <right style="medium">
        <color theme="0" tint="-0.24994659260841701"/>
      </right>
      <top style="thick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ck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medium">
        <color theme="0" tint="-0.24994659260841701"/>
      </bottom>
      <diagonal/>
    </border>
    <border>
      <left style="thick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ck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ck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ck">
        <color theme="0" tint="-0.24994659260841701"/>
      </bottom>
      <diagonal/>
    </border>
    <border>
      <left style="medium">
        <color theme="0" tint="-0.24994659260841701"/>
      </left>
      <right style="thick">
        <color theme="0" tint="-0.24994659260841701"/>
      </right>
      <top style="medium">
        <color theme="0" tint="-0.24994659260841701"/>
      </top>
      <bottom style="thick">
        <color theme="0" tint="-0.24994659260841701"/>
      </bottom>
      <diagonal/>
    </border>
    <border>
      <left/>
      <right/>
      <top style="medium">
        <color rgb="FF1B365D"/>
      </top>
      <bottom style="double">
        <color rgb="FF1B365D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auto="1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">
        <color theme="0" tint="-0.24994659260841701"/>
      </top>
      <bottom style="thick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ck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ck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medium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/>
      <right/>
      <top style="medium">
        <color rgb="FF0F4C5C"/>
      </top>
      <bottom style="thin">
        <color rgb="FFD0D7DE"/>
      </bottom>
      <diagonal/>
    </border>
    <border>
      <left/>
      <right style="thin">
        <color rgb="FFD0D7DE"/>
      </right>
      <top style="medium">
        <color rgb="FF0F4C5C"/>
      </top>
      <bottom style="thin">
        <color rgb="FFD0D7DE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medium">
        <color theme="0" tint="-0.34998626667073579"/>
      </bottom>
      <diagonal/>
    </border>
    <border>
      <left/>
      <right style="medium">
        <color rgb="FFD9D9D9"/>
      </right>
      <top/>
      <bottom style="thin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9">
    <xf numFmtId="0" fontId="0" fillId="0" borderId="0"/>
    <xf numFmtId="43" fontId="1" fillId="0" borderId="0"/>
    <xf numFmtId="0" fontId="10" fillId="0" borderId="0"/>
    <xf numFmtId="43" fontId="10" fillId="0" borderId="0"/>
    <xf numFmtId="0" fontId="10" fillId="0" borderId="0"/>
    <xf numFmtId="0" fontId="1" fillId="0" borderId="0"/>
    <xf numFmtId="0" fontId="49" fillId="0" borderId="0"/>
    <xf numFmtId="0" fontId="50" fillId="0" borderId="0"/>
    <xf numFmtId="43" fontId="49" fillId="0" borderId="0"/>
    <xf numFmtId="0" fontId="54" fillId="0" borderId="0"/>
    <xf numFmtId="41" fontId="54" fillId="0" borderId="0"/>
    <xf numFmtId="0" fontId="10" fillId="0" borderId="0"/>
    <xf numFmtId="0" fontId="10" fillId="0" borderId="0"/>
    <xf numFmtId="41" fontId="10" fillId="0" borderId="0"/>
    <xf numFmtId="9" fontId="73" fillId="0" borderId="0"/>
    <xf numFmtId="172" fontId="1" fillId="0" borderId="0"/>
    <xf numFmtId="0" fontId="51" fillId="0" borderId="0"/>
    <xf numFmtId="0" fontId="10" fillId="0" borderId="0"/>
    <xf numFmtId="43" fontId="1" fillId="0" borderId="0"/>
  </cellStyleXfs>
  <cellXfs count="577">
    <xf numFmtId="0" fontId="0" fillId="0" borderId="0" xfId="0"/>
    <xf numFmtId="0" fontId="6" fillId="0" borderId="0" xfId="0" applyFont="1"/>
    <xf numFmtId="0" fontId="3" fillId="0" borderId="0" xfId="2" applyFont="1"/>
    <xf numFmtId="0" fontId="1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/>
    </xf>
    <xf numFmtId="164" fontId="16" fillId="8" borderId="1" xfId="2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164" fontId="16" fillId="9" borderId="1" xfId="2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165" fontId="18" fillId="0" borderId="0" xfId="0" applyNumberFormat="1" applyFont="1" applyAlignment="1">
      <alignment horizontal="left" vertical="center"/>
    </xf>
    <xf numFmtId="165" fontId="15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64" fontId="15" fillId="0" borderId="0" xfId="0" applyNumberFormat="1" applyFont="1" applyAlignment="1">
      <alignment horizontal="left" vertical="center"/>
    </xf>
    <xf numFmtId="0" fontId="27" fillId="11" borderId="5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left" vertical="center"/>
    </xf>
    <xf numFmtId="4" fontId="0" fillId="12" borderId="5" xfId="0" applyNumberFormat="1" applyFill="1" applyBorder="1" applyAlignment="1">
      <alignment horizontal="right" vertical="center"/>
    </xf>
    <xf numFmtId="4" fontId="0" fillId="2" borderId="5" xfId="0" applyNumberFormat="1" applyFill="1" applyBorder="1" applyAlignment="1">
      <alignment horizontal="right" vertical="center"/>
    </xf>
    <xf numFmtId="10" fontId="0" fillId="2" borderId="5" xfId="0" applyNumberFormat="1" applyFill="1" applyBorder="1" applyAlignment="1">
      <alignment horizontal="right" vertical="center"/>
    </xf>
    <xf numFmtId="0" fontId="0" fillId="13" borderId="5" xfId="0" applyFill="1" applyBorder="1"/>
    <xf numFmtId="0" fontId="13" fillId="13" borderId="5" xfId="0" applyFont="1" applyFill="1" applyBorder="1" applyAlignment="1">
      <alignment horizontal="left" vertical="center"/>
    </xf>
    <xf numFmtId="0" fontId="13" fillId="13" borderId="5" xfId="0" applyFont="1" applyFill="1" applyBorder="1" applyAlignment="1">
      <alignment horizontal="center" vertical="center"/>
    </xf>
    <xf numFmtId="4" fontId="0" fillId="13" borderId="5" xfId="0" applyNumberFormat="1" applyFill="1" applyBorder="1" applyAlignment="1">
      <alignment horizontal="right" vertical="center"/>
    </xf>
    <xf numFmtId="10" fontId="0" fillId="13" borderId="5" xfId="0" applyNumberFormat="1" applyFill="1" applyBorder="1" applyAlignment="1">
      <alignment horizontal="right" vertical="center"/>
    </xf>
    <xf numFmtId="0" fontId="25" fillId="14" borderId="5" xfId="0" applyFont="1" applyFill="1" applyBorder="1" applyAlignment="1">
      <alignment horizontal="center" vertical="center"/>
    </xf>
    <xf numFmtId="0" fontId="25" fillId="14" borderId="5" xfId="0" applyFont="1" applyFill="1" applyBorder="1" applyAlignment="1">
      <alignment horizontal="left" vertical="center"/>
    </xf>
    <xf numFmtId="4" fontId="25" fillId="14" borderId="5" xfId="0" applyNumberFormat="1" applyFont="1" applyFill="1" applyBorder="1" applyAlignment="1">
      <alignment horizontal="right" vertical="center"/>
    </xf>
    <xf numFmtId="10" fontId="25" fillId="14" borderId="5" xfId="0" applyNumberFormat="1" applyFont="1" applyFill="1" applyBorder="1" applyAlignment="1">
      <alignment horizontal="right" vertical="center"/>
    </xf>
    <xf numFmtId="0" fontId="0" fillId="14" borderId="6" xfId="0" applyFill="1" applyBorder="1"/>
    <xf numFmtId="0" fontId="13" fillId="14" borderId="6" xfId="0" applyFont="1" applyFill="1" applyBorder="1" applyAlignment="1">
      <alignment horizontal="left" vertical="center"/>
    </xf>
    <xf numFmtId="0" fontId="13" fillId="14" borderId="6" xfId="0" applyFont="1" applyFill="1" applyBorder="1" applyAlignment="1">
      <alignment horizontal="center" vertical="center"/>
    </xf>
    <xf numFmtId="4" fontId="25" fillId="14" borderId="6" xfId="0" applyNumberFormat="1" applyFont="1" applyFill="1" applyBorder="1" applyAlignment="1">
      <alignment horizontal="right" vertical="center"/>
    </xf>
    <xf numFmtId="10" fontId="25" fillId="14" borderId="6" xfId="0" applyNumberFormat="1" applyFont="1" applyFill="1" applyBorder="1" applyAlignment="1">
      <alignment horizontal="right" vertical="center"/>
    </xf>
    <xf numFmtId="0" fontId="0" fillId="2" borderId="5" xfId="0" applyFill="1" applyBorder="1"/>
    <xf numFmtId="4" fontId="26" fillId="12" borderId="5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28" fillId="15" borderId="5" xfId="0" applyFont="1" applyFill="1" applyBorder="1" applyAlignment="1">
      <alignment horizontal="center" vertical="center"/>
    </xf>
    <xf numFmtId="0" fontId="28" fillId="15" borderId="5" xfId="0" applyFont="1" applyFill="1" applyBorder="1" applyAlignment="1">
      <alignment horizontal="left" vertical="center"/>
    </xf>
    <xf numFmtId="0" fontId="25" fillId="15" borderId="5" xfId="0" applyFont="1" applyFill="1" applyBorder="1" applyAlignment="1">
      <alignment horizontal="center" vertical="center"/>
    </xf>
    <xf numFmtId="0" fontId="0" fillId="15" borderId="5" xfId="0" applyFill="1" applyBorder="1"/>
    <xf numFmtId="4" fontId="28" fillId="15" borderId="5" xfId="0" applyNumberFormat="1" applyFont="1" applyFill="1" applyBorder="1" applyAlignment="1">
      <alignment horizontal="right" vertical="center"/>
    </xf>
    <xf numFmtId="0" fontId="0" fillId="15" borderId="7" xfId="0" applyFill="1" applyBorder="1"/>
    <xf numFmtId="0" fontId="13" fillId="15" borderId="7" xfId="0" applyFont="1" applyFill="1" applyBorder="1" applyAlignment="1">
      <alignment horizontal="left" vertical="center"/>
    </xf>
    <xf numFmtId="0" fontId="13" fillId="15" borderId="7" xfId="0" applyFont="1" applyFill="1" applyBorder="1" applyAlignment="1">
      <alignment horizontal="center" vertical="center"/>
    </xf>
    <xf numFmtId="4" fontId="28" fillId="15" borderId="7" xfId="0" applyNumberFormat="1" applyFont="1" applyFill="1" applyBorder="1" applyAlignment="1">
      <alignment horizontal="right" vertical="center"/>
    </xf>
    <xf numFmtId="0" fontId="25" fillId="0" borderId="0" xfId="0" applyFont="1"/>
    <xf numFmtId="0" fontId="26" fillId="0" borderId="0" xfId="0" applyFont="1"/>
    <xf numFmtId="0" fontId="31" fillId="5" borderId="0" xfId="0" applyFont="1" applyFill="1" applyAlignment="1">
      <alignment horizontal="center"/>
    </xf>
    <xf numFmtId="43" fontId="3" fillId="16" borderId="21" xfId="3" applyFont="1" applyFill="1" applyBorder="1" applyAlignment="1">
      <alignment horizontal="center" vertical="center" wrapText="1"/>
    </xf>
    <xf numFmtId="43" fontId="3" fillId="0" borderId="0" xfId="3" applyFont="1"/>
    <xf numFmtId="43" fontId="3" fillId="16" borderId="1" xfId="3" applyFont="1" applyFill="1" applyBorder="1" applyAlignment="1">
      <alignment horizontal="center" vertical="center" wrapText="1"/>
    </xf>
    <xf numFmtId="43" fontId="3" fillId="5" borderId="0" xfId="3" applyFont="1" applyFill="1"/>
    <xf numFmtId="43" fontId="36" fillId="16" borderId="1" xfId="3" applyFont="1" applyFill="1" applyBorder="1" applyAlignment="1">
      <alignment horizontal="center" vertical="center" wrapText="1"/>
    </xf>
    <xf numFmtId="43" fontId="36" fillId="16" borderId="21" xfId="3" applyFont="1" applyFill="1" applyBorder="1" applyAlignment="1">
      <alignment horizontal="center" vertical="center" wrapText="1"/>
    </xf>
    <xf numFmtId="0" fontId="0" fillId="0" borderId="13" xfId="0" applyBorder="1"/>
    <xf numFmtId="166" fontId="0" fillId="0" borderId="13" xfId="0" applyNumberFormat="1" applyBorder="1"/>
    <xf numFmtId="43" fontId="0" fillId="0" borderId="0" xfId="0" applyNumberFormat="1"/>
    <xf numFmtId="167" fontId="11" fillId="2" borderId="23" xfId="0" applyNumberFormat="1" applyFont="1" applyFill="1" applyBorder="1" applyAlignment="1">
      <alignment horizontal="right" vertical="center" indent="1"/>
    </xf>
    <xf numFmtId="0" fontId="10" fillId="0" borderId="0" xfId="4"/>
    <xf numFmtId="0" fontId="3" fillId="0" borderId="0" xfId="4" applyFont="1"/>
    <xf numFmtId="0" fontId="10" fillId="0" borderId="0" xfId="4" applyAlignment="1">
      <alignment horizontal="center"/>
    </xf>
    <xf numFmtId="168" fontId="3" fillId="0" borderId="1" xfId="4" applyNumberFormat="1" applyFont="1" applyBorder="1"/>
    <xf numFmtId="168" fontId="3" fillId="0" borderId="1" xfId="4" applyNumberFormat="1" applyFont="1" applyBorder="1" applyAlignment="1">
      <alignment vertical="center"/>
    </xf>
    <xf numFmtId="0" fontId="10" fillId="0" borderId="0" xfId="4" applyAlignment="1">
      <alignment horizontal="center" vertical="center"/>
    </xf>
    <xf numFmtId="0" fontId="10" fillId="0" borderId="20" xfId="4" applyBorder="1" applyAlignment="1">
      <alignment horizontal="center" vertical="center"/>
    </xf>
    <xf numFmtId="0" fontId="16" fillId="6" borderId="24" xfId="4" applyFont="1" applyFill="1" applyBorder="1" applyAlignment="1">
      <alignment horizontal="center" vertical="center"/>
    </xf>
    <xf numFmtId="0" fontId="16" fillId="6" borderId="25" xfId="4" applyFont="1" applyFill="1" applyBorder="1" applyAlignment="1">
      <alignment horizontal="center"/>
    </xf>
    <xf numFmtId="0" fontId="10" fillId="0" borderId="27" xfId="4" applyBorder="1" applyAlignment="1">
      <alignment horizontal="center" vertical="center"/>
    </xf>
    <xf numFmtId="168" fontId="3" fillId="0" borderId="21" xfId="4" applyNumberFormat="1" applyFont="1" applyBorder="1" applyAlignment="1">
      <alignment vertical="center"/>
    </xf>
    <xf numFmtId="0" fontId="10" fillId="0" borderId="28" xfId="4" applyBorder="1" applyAlignment="1">
      <alignment horizontal="center" wrapText="1"/>
    </xf>
    <xf numFmtId="0" fontId="10" fillId="18" borderId="20" xfId="4" applyFill="1" applyBorder="1" applyAlignment="1">
      <alignment horizontal="center" vertical="center"/>
    </xf>
    <xf numFmtId="168" fontId="3" fillId="18" borderId="1" xfId="4" applyNumberFormat="1" applyFont="1" applyFill="1" applyBorder="1" applyAlignment="1">
      <alignment vertical="center"/>
    </xf>
    <xf numFmtId="0" fontId="39" fillId="5" borderId="0" xfId="0" applyFont="1" applyFill="1" applyAlignment="1">
      <alignment horizontal="center" vertical="center" wrapText="1"/>
    </xf>
    <xf numFmtId="0" fontId="41" fillId="5" borderId="0" xfId="0" applyFont="1" applyFill="1"/>
    <xf numFmtId="0" fontId="42" fillId="0" borderId="0" xfId="0" applyFont="1"/>
    <xf numFmtId="0" fontId="0" fillId="0" borderId="39" xfId="0" applyBorder="1"/>
    <xf numFmtId="0" fontId="0" fillId="0" borderId="36" xfId="0" applyBorder="1"/>
    <xf numFmtId="0" fontId="47" fillId="5" borderId="0" xfId="0" applyFont="1" applyFill="1"/>
    <xf numFmtId="0" fontId="48" fillId="5" borderId="20" xfId="7" quotePrefix="1" applyFont="1" applyFill="1" applyBorder="1" applyAlignment="1">
      <alignment vertical="center"/>
    </xf>
    <xf numFmtId="0" fontId="51" fillId="16" borderId="1" xfId="5" applyFont="1" applyFill="1" applyBorder="1" applyAlignment="1">
      <alignment horizontal="center" vertical="center"/>
    </xf>
    <xf numFmtId="0" fontId="3" fillId="16" borderId="1" xfId="5" applyFont="1" applyFill="1" applyBorder="1" applyAlignment="1">
      <alignment horizontal="center" vertical="center"/>
    </xf>
    <xf numFmtId="169" fontId="51" fillId="16" borderId="1" xfId="5" applyNumberFormat="1" applyFont="1" applyFill="1" applyBorder="1" applyAlignment="1">
      <alignment vertical="center"/>
    </xf>
    <xf numFmtId="0" fontId="51" fillId="5" borderId="1" xfId="5" applyFont="1" applyFill="1" applyBorder="1" applyAlignment="1">
      <alignment horizontal="center" vertical="center"/>
    </xf>
    <xf numFmtId="169" fontId="51" fillId="5" borderId="1" xfId="5" applyNumberFormat="1" applyFont="1" applyFill="1" applyBorder="1" applyAlignment="1">
      <alignment vertical="center"/>
    </xf>
    <xf numFmtId="0" fontId="48" fillId="5" borderId="20" xfId="6" quotePrefix="1" applyFont="1" applyFill="1" applyBorder="1" applyAlignment="1">
      <alignment horizontal="left" vertical="center"/>
    </xf>
    <xf numFmtId="169" fontId="3" fillId="16" borderId="1" xfId="8" applyNumberFormat="1" applyFont="1" applyFill="1" applyBorder="1" applyAlignment="1">
      <alignment horizontal="center" vertical="center"/>
    </xf>
    <xf numFmtId="0" fontId="3" fillId="5" borderId="1" xfId="5" applyFont="1" applyFill="1" applyBorder="1" applyAlignment="1">
      <alignment horizontal="center" vertical="center"/>
    </xf>
    <xf numFmtId="0" fontId="48" fillId="5" borderId="20" xfId="5" quotePrefix="1" applyFont="1" applyFill="1" applyBorder="1" applyAlignment="1">
      <alignment horizontal="center" vertical="center"/>
    </xf>
    <xf numFmtId="0" fontId="51" fillId="5" borderId="20" xfId="5" quotePrefix="1" applyFont="1" applyFill="1" applyBorder="1" applyAlignment="1">
      <alignment horizontal="center" vertical="center"/>
    </xf>
    <xf numFmtId="0" fontId="16" fillId="5" borderId="20" xfId="5" applyFont="1" applyFill="1" applyBorder="1" applyAlignment="1">
      <alignment horizontal="center" vertical="center"/>
    </xf>
    <xf numFmtId="0" fontId="3" fillId="5" borderId="20" xfId="5" applyFont="1" applyFill="1" applyBorder="1" applyAlignment="1">
      <alignment horizontal="center" vertical="center"/>
    </xf>
    <xf numFmtId="0" fontId="48" fillId="5" borderId="18" xfId="5" quotePrefix="1" applyFont="1" applyFill="1" applyBorder="1" applyAlignment="1">
      <alignment horizontal="center" vertical="center"/>
    </xf>
    <xf numFmtId="0" fontId="51" fillId="5" borderId="18" xfId="5" quotePrefix="1" applyFont="1" applyFill="1" applyBorder="1" applyAlignment="1">
      <alignment horizontal="center" vertical="center"/>
    </xf>
    <xf numFmtId="0" fontId="16" fillId="5" borderId="18" xfId="5" applyFont="1" applyFill="1" applyBorder="1" applyAlignment="1">
      <alignment horizontal="center" vertical="center"/>
    </xf>
    <xf numFmtId="0" fontId="3" fillId="5" borderId="18" xfId="5" applyFont="1" applyFill="1" applyBorder="1" applyAlignment="1">
      <alignment horizontal="center" vertical="center"/>
    </xf>
    <xf numFmtId="0" fontId="3" fillId="5" borderId="27" xfId="5" applyFont="1" applyFill="1" applyBorder="1" applyAlignment="1">
      <alignment horizontal="center" vertical="center"/>
    </xf>
    <xf numFmtId="0" fontId="51" fillId="5" borderId="27" xfId="6" applyFont="1" applyFill="1" applyBorder="1" applyAlignment="1">
      <alignment horizontal="left" vertical="center"/>
    </xf>
    <xf numFmtId="0" fontId="48" fillId="5" borderId="21" xfId="5" applyFont="1" applyFill="1" applyBorder="1" applyAlignment="1">
      <alignment horizontal="center" vertical="center"/>
    </xf>
    <xf numFmtId="0" fontId="48" fillId="5" borderId="29" xfId="5" applyFont="1" applyFill="1" applyBorder="1" applyAlignment="1">
      <alignment horizontal="center" vertical="center"/>
    </xf>
    <xf numFmtId="0" fontId="16" fillId="5" borderId="21" xfId="5" applyFont="1" applyFill="1" applyBorder="1" applyAlignment="1">
      <alignment horizontal="center" vertical="center"/>
    </xf>
    <xf numFmtId="169" fontId="48" fillId="5" borderId="21" xfId="5" applyNumberFormat="1" applyFont="1" applyFill="1" applyBorder="1" applyAlignment="1">
      <alignment vertical="center"/>
    </xf>
    <xf numFmtId="0" fontId="3" fillId="5" borderId="28" xfId="5" applyFont="1" applyFill="1" applyBorder="1" applyAlignment="1">
      <alignment horizontal="center" vertical="center"/>
    </xf>
    <xf numFmtId="0" fontId="51" fillId="5" borderId="20" xfId="7" applyFont="1" applyFill="1" applyBorder="1" applyAlignment="1">
      <alignment vertical="center" wrapText="1"/>
    </xf>
    <xf numFmtId="0" fontId="16" fillId="9" borderId="24" xfId="5" applyFont="1" applyFill="1" applyBorder="1" applyAlignment="1">
      <alignment horizontal="center" vertical="center"/>
    </xf>
    <xf numFmtId="0" fontId="16" fillId="9" borderId="25" xfId="5" applyFont="1" applyFill="1" applyBorder="1" applyAlignment="1">
      <alignment horizontal="center" vertical="center"/>
    </xf>
    <xf numFmtId="0" fontId="16" fillId="9" borderId="26" xfId="5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52" fillId="0" borderId="0" xfId="0" applyFont="1"/>
    <xf numFmtId="0" fontId="11" fillId="2" borderId="2" xfId="0" applyFont="1" applyFill="1" applyBorder="1" applyAlignment="1">
      <alignment horizontal="left" vertical="center" indent="1"/>
    </xf>
    <xf numFmtId="3" fontId="11" fillId="2" borderId="2" xfId="0" applyNumberFormat="1" applyFont="1" applyFill="1" applyBorder="1" applyAlignment="1">
      <alignment horizontal="center" vertical="center"/>
    </xf>
    <xf numFmtId="167" fontId="11" fillId="2" borderId="2" xfId="0" applyNumberFormat="1" applyFont="1" applyFill="1" applyBorder="1" applyAlignment="1">
      <alignment horizontal="right" vertical="center" indent="1"/>
    </xf>
    <xf numFmtId="43" fontId="5" fillId="5" borderId="2" xfId="1" applyFont="1" applyFill="1" applyBorder="1"/>
    <xf numFmtId="0" fontId="53" fillId="0" borderId="0" xfId="0" applyFont="1"/>
    <xf numFmtId="0" fontId="54" fillId="0" borderId="0" xfId="9"/>
    <xf numFmtId="0" fontId="54" fillId="0" borderId="42" xfId="9" applyBorder="1"/>
    <xf numFmtId="0" fontId="54" fillId="0" borderId="44" xfId="9" applyBorder="1"/>
    <xf numFmtId="0" fontId="54" fillId="0" borderId="45" xfId="9" applyBorder="1"/>
    <xf numFmtId="0" fontId="54" fillId="0" borderId="46" xfId="9" applyBorder="1"/>
    <xf numFmtId="0" fontId="54" fillId="0" borderId="47" xfId="9" applyBorder="1"/>
    <xf numFmtId="0" fontId="54" fillId="0" borderId="48" xfId="9" applyBorder="1"/>
    <xf numFmtId="0" fontId="54" fillId="0" borderId="49" xfId="9" applyBorder="1"/>
    <xf numFmtId="0" fontId="54" fillId="0" borderId="50" xfId="9" applyBorder="1"/>
    <xf numFmtId="0" fontId="54" fillId="0" borderId="29" xfId="9" applyBorder="1"/>
    <xf numFmtId="0" fontId="54" fillId="0" borderId="51" xfId="9" applyBorder="1"/>
    <xf numFmtId="0" fontId="58" fillId="0" borderId="0" xfId="9" applyFont="1"/>
    <xf numFmtId="0" fontId="59" fillId="0" borderId="0" xfId="9" applyFont="1"/>
    <xf numFmtId="0" fontId="60" fillId="0" borderId="0" xfId="9" applyFont="1"/>
    <xf numFmtId="0" fontId="60" fillId="0" borderId="0" xfId="9" quotePrefix="1" applyFont="1"/>
    <xf numFmtId="0" fontId="59" fillId="0" borderId="0" xfId="9" applyFont="1" applyAlignment="1">
      <alignment horizontal="right"/>
    </xf>
    <xf numFmtId="0" fontId="63" fillId="0" borderId="46" xfId="9" applyFont="1" applyBorder="1"/>
    <xf numFmtId="0" fontId="63" fillId="0" borderId="0" xfId="9" applyFont="1"/>
    <xf numFmtId="0" fontId="61" fillId="0" borderId="0" xfId="9" applyFont="1"/>
    <xf numFmtId="41" fontId="64" fillId="0" borderId="0" xfId="10" applyFont="1"/>
    <xf numFmtId="0" fontId="64" fillId="0" borderId="0" xfId="9" quotePrefix="1" applyFont="1" applyAlignment="1">
      <alignment horizontal="right"/>
    </xf>
    <xf numFmtId="0" fontId="66" fillId="21" borderId="1" xfId="9" applyFont="1" applyFill="1" applyBorder="1" applyAlignment="1">
      <alignment horizontal="center"/>
    </xf>
    <xf numFmtId="0" fontId="54" fillId="6" borderId="52" xfId="9" applyFill="1" applyBorder="1" applyAlignment="1">
      <alignment horizontal="center"/>
    </xf>
    <xf numFmtId="0" fontId="54" fillId="6" borderId="53" xfId="9" applyFill="1" applyBorder="1" applyAlignment="1">
      <alignment horizontal="center"/>
    </xf>
    <xf numFmtId="0" fontId="54" fillId="6" borderId="54" xfId="9" applyFill="1" applyBorder="1" applyAlignment="1">
      <alignment horizontal="center"/>
    </xf>
    <xf numFmtId="0" fontId="61" fillId="5" borderId="57" xfId="11" applyFont="1" applyFill="1" applyBorder="1" applyAlignment="1">
      <alignment horizontal="left"/>
    </xf>
    <xf numFmtId="0" fontId="61" fillId="5" borderId="57" xfId="11" applyFont="1" applyFill="1" applyBorder="1" applyAlignment="1">
      <alignment horizontal="center"/>
    </xf>
    <xf numFmtId="0" fontId="67" fillId="5" borderId="55" xfId="9" applyFont="1" applyFill="1" applyBorder="1" applyAlignment="1">
      <alignment horizontal="center"/>
    </xf>
    <xf numFmtId="0" fontId="67" fillId="5" borderId="56" xfId="9" applyFont="1" applyFill="1" applyBorder="1" applyAlignment="1">
      <alignment horizontal="center"/>
    </xf>
    <xf numFmtId="0" fontId="60" fillId="0" borderId="58" xfId="9" applyFont="1" applyBorder="1" applyAlignment="1">
      <alignment horizontal="center" vertical="center"/>
    </xf>
    <xf numFmtId="0" fontId="54" fillId="5" borderId="55" xfId="9" applyFill="1" applyBorder="1" applyAlignment="1">
      <alignment horizontal="center"/>
    </xf>
    <xf numFmtId="0" fontId="54" fillId="5" borderId="56" xfId="9" applyFill="1" applyBorder="1" applyAlignment="1">
      <alignment horizontal="center"/>
    </xf>
    <xf numFmtId="0" fontId="54" fillId="5" borderId="59" xfId="9" applyFill="1" applyBorder="1" applyAlignment="1">
      <alignment horizontal="center"/>
    </xf>
    <xf numFmtId="0" fontId="60" fillId="0" borderId="62" xfId="9" applyFont="1" applyBorder="1" applyAlignment="1">
      <alignment horizontal="center" vertical="center"/>
    </xf>
    <xf numFmtId="41" fontId="60" fillId="0" borderId="60" xfId="13" applyFont="1" applyBorder="1" applyAlignment="1">
      <alignment vertical="center" wrapText="1"/>
    </xf>
    <xf numFmtId="41" fontId="60" fillId="0" borderId="61" xfId="13" applyFont="1" applyBorder="1" applyAlignment="1">
      <alignment horizontal="center" vertical="center" wrapText="1"/>
    </xf>
    <xf numFmtId="41" fontId="60" fillId="0" borderId="61" xfId="13" applyFont="1" applyBorder="1" applyAlignment="1">
      <alignment vertical="center" wrapText="1"/>
    </xf>
    <xf numFmtId="41" fontId="60" fillId="0" borderId="63" xfId="13" applyFont="1" applyBorder="1" applyAlignment="1">
      <alignment vertical="center" wrapText="1"/>
    </xf>
    <xf numFmtId="0" fontId="60" fillId="0" borderId="64" xfId="9" applyFont="1" applyBorder="1" applyAlignment="1">
      <alignment horizontal="center" vertical="center"/>
    </xf>
    <xf numFmtId="0" fontId="60" fillId="0" borderId="13" xfId="9" applyFont="1" applyBorder="1" applyAlignment="1">
      <alignment horizontal="center" vertical="center"/>
    </xf>
    <xf numFmtId="41" fontId="60" fillId="0" borderId="64" xfId="13" applyFont="1" applyBorder="1"/>
    <xf numFmtId="41" fontId="60" fillId="0" borderId="13" xfId="13" applyFont="1" applyBorder="1"/>
    <xf numFmtId="41" fontId="70" fillId="0" borderId="13" xfId="13" applyFont="1" applyBorder="1"/>
    <xf numFmtId="41" fontId="60" fillId="0" borderId="63" xfId="13" applyFont="1" applyBorder="1"/>
    <xf numFmtId="0" fontId="60" fillId="0" borderId="65" xfId="9" applyFont="1" applyBorder="1" applyAlignment="1">
      <alignment horizontal="center" vertical="center"/>
    </xf>
    <xf numFmtId="0" fontId="60" fillId="0" borderId="66" xfId="9" applyFont="1" applyBorder="1" applyAlignment="1">
      <alignment horizontal="center" vertical="center"/>
    </xf>
    <xf numFmtId="41" fontId="60" fillId="0" borderId="65" xfId="13" applyFont="1" applyBorder="1"/>
    <xf numFmtId="41" fontId="60" fillId="0" borderId="66" xfId="13" applyFont="1" applyBorder="1"/>
    <xf numFmtId="41" fontId="70" fillId="0" borderId="66" xfId="13" applyFont="1" applyBorder="1"/>
    <xf numFmtId="41" fontId="60" fillId="0" borderId="67" xfId="13" applyFont="1" applyBorder="1"/>
    <xf numFmtId="0" fontId="68" fillId="0" borderId="0" xfId="9" quotePrefix="1" applyFont="1" applyAlignment="1">
      <alignment horizontal="center"/>
    </xf>
    <xf numFmtId="0" fontId="68" fillId="0" borderId="0" xfId="9" applyFont="1" applyAlignment="1">
      <alignment wrapText="1"/>
    </xf>
    <xf numFmtId="0" fontId="71" fillId="0" borderId="0" xfId="9" applyFont="1"/>
    <xf numFmtId="0" fontId="72" fillId="0" borderId="1" xfId="9" applyFont="1" applyBorder="1" applyAlignment="1">
      <alignment horizontal="center" vertical="center"/>
    </xf>
    <xf numFmtId="43" fontId="68" fillId="0" borderId="30" xfId="3" applyFont="1" applyBorder="1" applyAlignment="1">
      <alignment horizontal="left" vertical="center"/>
    </xf>
    <xf numFmtId="43" fontId="68" fillId="0" borderId="0" xfId="3" applyFont="1" applyAlignment="1">
      <alignment vertical="center"/>
    </xf>
    <xf numFmtId="9" fontId="74" fillId="0" borderId="0" xfId="14" applyFont="1" applyAlignment="1">
      <alignment horizontal="right"/>
    </xf>
    <xf numFmtId="9" fontId="74" fillId="0" borderId="31" xfId="14" applyFont="1" applyBorder="1" applyAlignment="1">
      <alignment horizontal="right"/>
    </xf>
    <xf numFmtId="41" fontId="60" fillId="0" borderId="1" xfId="13" applyFont="1" applyBorder="1"/>
    <xf numFmtId="41" fontId="70" fillId="0" borderId="1" xfId="13" applyFont="1" applyBorder="1"/>
    <xf numFmtId="0" fontId="68" fillId="0" borderId="0" xfId="9" applyFont="1"/>
    <xf numFmtId="43" fontId="66" fillId="0" borderId="28" xfId="3" applyFont="1" applyBorder="1"/>
    <xf numFmtId="0" fontId="71" fillId="0" borderId="29" xfId="9" applyFont="1" applyBorder="1"/>
    <xf numFmtId="0" fontId="54" fillId="0" borderId="27" xfId="9" applyBorder="1"/>
    <xf numFmtId="0" fontId="75" fillId="0" borderId="0" xfId="9" applyFont="1" applyAlignment="1">
      <alignment horizontal="center"/>
    </xf>
    <xf numFmtId="0" fontId="54" fillId="0" borderId="30" xfId="9" applyBorder="1"/>
    <xf numFmtId="0" fontId="67" fillId="0" borderId="0" xfId="9" applyFont="1" applyAlignment="1">
      <alignment horizontal="center"/>
    </xf>
    <xf numFmtId="0" fontId="54" fillId="0" borderId="31" xfId="9" applyBorder="1"/>
    <xf numFmtId="0" fontId="68" fillId="0" borderId="28" xfId="9" applyFont="1" applyBorder="1" applyAlignment="1">
      <alignment horizontal="center"/>
    </xf>
    <xf numFmtId="0" fontId="68" fillId="0" borderId="29" xfId="9" applyFont="1" applyBorder="1" applyAlignment="1">
      <alignment horizontal="center"/>
    </xf>
    <xf numFmtId="0" fontId="68" fillId="0" borderId="27" xfId="9" applyFont="1" applyBorder="1" applyAlignment="1">
      <alignment horizontal="center"/>
    </xf>
    <xf numFmtId="0" fontId="68" fillId="0" borderId="0" xfId="9" applyFont="1" applyAlignment="1">
      <alignment horizontal="center"/>
    </xf>
    <xf numFmtId="0" fontId="68" fillId="0" borderId="30" xfId="9" applyFont="1" applyBorder="1" applyAlignment="1">
      <alignment vertical="center"/>
    </xf>
    <xf numFmtId="0" fontId="54" fillId="0" borderId="26" xfId="9" applyBorder="1"/>
    <xf numFmtId="0" fontId="54" fillId="0" borderId="32" xfId="9" applyBorder="1"/>
    <xf numFmtId="0" fontId="54" fillId="0" borderId="24" xfId="9" applyBorder="1"/>
    <xf numFmtId="0" fontId="68" fillId="0" borderId="26" xfId="9" applyFont="1" applyBorder="1" applyAlignment="1">
      <alignment vertical="center"/>
    </xf>
    <xf numFmtId="0" fontId="54" fillId="0" borderId="68" xfId="9" applyBorder="1"/>
    <xf numFmtId="0" fontId="54" fillId="0" borderId="69" xfId="9" applyBorder="1"/>
    <xf numFmtId="0" fontId="54" fillId="0" borderId="70" xfId="9" applyBorder="1"/>
    <xf numFmtId="0" fontId="3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7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65" fontId="5" fillId="0" borderId="0" xfId="0" applyNumberFormat="1" applyFont="1"/>
    <xf numFmtId="165" fontId="4" fillId="0" borderId="0" xfId="0" applyNumberFormat="1" applyFont="1"/>
    <xf numFmtId="0" fontId="12" fillId="0" borderId="0" xfId="0" applyFont="1"/>
    <xf numFmtId="0" fontId="0" fillId="9" borderId="0" xfId="0" applyFill="1"/>
    <xf numFmtId="0" fontId="3" fillId="9" borderId="0" xfId="0" applyFont="1" applyFill="1" applyAlignment="1">
      <alignment vertical="center"/>
    </xf>
    <xf numFmtId="0" fontId="15" fillId="9" borderId="0" xfId="0" applyFont="1" applyFill="1" applyAlignment="1">
      <alignment horizontal="left" vertical="center"/>
    </xf>
    <xf numFmtId="0" fontId="0" fillId="9" borderId="0" xfId="0" applyFill="1" applyAlignment="1">
      <alignment horizontal="left"/>
    </xf>
    <xf numFmtId="0" fontId="14" fillId="5" borderId="0" xfId="0" applyFont="1" applyFill="1" applyAlignment="1">
      <alignment horizontal="center" vertical="center"/>
    </xf>
    <xf numFmtId="0" fontId="0" fillId="9" borderId="0" xfId="0" quotePrefix="1" applyFill="1"/>
    <xf numFmtId="0" fontId="14" fillId="25" borderId="73" xfId="0" applyFont="1" applyFill="1" applyBorder="1" applyAlignment="1">
      <alignment horizontal="center" vertical="center"/>
    </xf>
    <xf numFmtId="0" fontId="17" fillId="23" borderId="77" xfId="0" applyFont="1" applyFill="1" applyBorder="1" applyAlignment="1">
      <alignment horizontal="left" vertical="center" indent="1"/>
    </xf>
    <xf numFmtId="0" fontId="0" fillId="0" borderId="78" xfId="0" applyBorder="1"/>
    <xf numFmtId="0" fontId="0" fillId="0" borderId="80" xfId="0" applyBorder="1"/>
    <xf numFmtId="165" fontId="15" fillId="0" borderId="81" xfId="0" applyNumberFormat="1" applyFont="1" applyBorder="1" applyAlignment="1">
      <alignment horizontal="left" vertical="center"/>
    </xf>
    <xf numFmtId="0" fontId="20" fillId="2" borderId="85" xfId="0" applyFont="1" applyFill="1" applyBorder="1" applyAlignment="1">
      <alignment horizontal="center" vertical="center"/>
    </xf>
    <xf numFmtId="0" fontId="20" fillId="2" borderId="86" xfId="0" applyFont="1" applyFill="1" applyBorder="1" applyAlignment="1">
      <alignment horizontal="center" vertical="center"/>
    </xf>
    <xf numFmtId="0" fontId="20" fillId="2" borderId="87" xfId="0" applyFont="1" applyFill="1" applyBorder="1" applyAlignment="1">
      <alignment horizontal="center" vertical="center"/>
    </xf>
    <xf numFmtId="0" fontId="20" fillId="2" borderId="88" xfId="0" applyFont="1" applyFill="1" applyBorder="1" applyAlignment="1">
      <alignment horizontal="center" vertical="center"/>
    </xf>
    <xf numFmtId="0" fontId="4" fillId="0" borderId="92" xfId="0" applyFont="1" applyBorder="1" applyAlignment="1">
      <alignment horizontal="center" vertical="center" wrapText="1"/>
    </xf>
    <xf numFmtId="4" fontId="4" fillId="0" borderId="93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170" fontId="4" fillId="0" borderId="93" xfId="0" applyNumberFormat="1" applyFont="1" applyBorder="1" applyAlignment="1">
      <alignment horizontal="center" vertical="center"/>
    </xf>
    <xf numFmtId="9" fontId="4" fillId="0" borderId="93" xfId="0" applyNumberFormat="1" applyFont="1" applyBorder="1" applyAlignment="1">
      <alignment horizontal="center" vertical="center"/>
    </xf>
    <xf numFmtId="171" fontId="4" fillId="0" borderId="93" xfId="0" applyNumberFormat="1" applyFont="1" applyBorder="1" applyAlignment="1">
      <alignment horizontal="right" vertical="center"/>
    </xf>
    <xf numFmtId="171" fontId="4" fillId="0" borderId="94" xfId="0" applyNumberFormat="1" applyFont="1" applyBorder="1" applyAlignment="1">
      <alignment horizontal="right" vertical="center"/>
    </xf>
    <xf numFmtId="0" fontId="81" fillId="0" borderId="0" xfId="0" applyFont="1"/>
    <xf numFmtId="0" fontId="84" fillId="27" borderId="89" xfId="0" applyFont="1" applyFill="1" applyBorder="1" applyAlignment="1">
      <alignment horizontal="center" vertical="center" wrapText="1"/>
    </xf>
    <xf numFmtId="0" fontId="84" fillId="27" borderId="90" xfId="0" applyFont="1" applyFill="1" applyBorder="1" applyAlignment="1">
      <alignment horizontal="center" vertical="center" wrapText="1"/>
    </xf>
    <xf numFmtId="0" fontId="84" fillId="27" borderId="91" xfId="0" applyFont="1" applyFill="1" applyBorder="1" applyAlignment="1">
      <alignment horizontal="center" vertical="center" wrapText="1"/>
    </xf>
    <xf numFmtId="0" fontId="85" fillId="28" borderId="92" xfId="0" applyFont="1" applyFill="1" applyBorder="1" applyAlignment="1">
      <alignment horizontal="center" vertical="center"/>
    </xf>
    <xf numFmtId="0" fontId="85" fillId="28" borderId="93" xfId="0" applyFont="1" applyFill="1" applyBorder="1" applyAlignment="1">
      <alignment horizontal="center" vertical="center"/>
    </xf>
    <xf numFmtId="0" fontId="85" fillId="28" borderId="94" xfId="0" applyFont="1" applyFill="1" applyBorder="1" applyAlignment="1">
      <alignment horizontal="center" vertical="center"/>
    </xf>
    <xf numFmtId="0" fontId="86" fillId="27" borderId="2" xfId="0" applyFont="1" applyFill="1" applyBorder="1" applyAlignment="1">
      <alignment horizontal="center" vertical="center" wrapText="1"/>
    </xf>
    <xf numFmtId="0" fontId="0" fillId="31" borderId="97" xfId="0" applyFill="1" applyBorder="1"/>
    <xf numFmtId="0" fontId="0" fillId="26" borderId="73" xfId="0" applyFill="1" applyBorder="1"/>
    <xf numFmtId="0" fontId="39" fillId="31" borderId="33" xfId="0" applyFont="1" applyFill="1" applyBorder="1" applyAlignment="1">
      <alignment horizontal="center" vertical="center" wrapText="1"/>
    </xf>
    <xf numFmtId="0" fontId="40" fillId="31" borderId="33" xfId="0" applyFont="1" applyFill="1" applyBorder="1"/>
    <xf numFmtId="0" fontId="41" fillId="31" borderId="33" xfId="0" applyFont="1" applyFill="1" applyBorder="1"/>
    <xf numFmtId="171" fontId="5" fillId="32" borderId="96" xfId="0" applyNumberFormat="1" applyFont="1" applyFill="1" applyBorder="1" applyAlignment="1">
      <alignment horizontal="right" vertical="center"/>
    </xf>
    <xf numFmtId="0" fontId="83" fillId="27" borderId="83" xfId="0" applyFont="1" applyFill="1" applyBorder="1" applyAlignment="1">
      <alignment horizontal="center" vertical="center"/>
    </xf>
    <xf numFmtId="0" fontId="83" fillId="27" borderId="84" xfId="0" applyFont="1" applyFill="1" applyBorder="1" applyAlignment="1">
      <alignment horizontal="center" vertical="center"/>
    </xf>
    <xf numFmtId="0" fontId="46" fillId="29" borderId="101" xfId="0" applyFont="1" applyFill="1" applyBorder="1" applyAlignment="1">
      <alignment horizontal="center" vertical="center" wrapText="1"/>
    </xf>
    <xf numFmtId="0" fontId="46" fillId="29" borderId="102" xfId="0" applyFont="1" applyFill="1" applyBorder="1" applyAlignment="1">
      <alignment horizontal="center" vertical="center" wrapText="1"/>
    </xf>
    <xf numFmtId="0" fontId="45" fillId="0" borderId="100" xfId="0" applyFont="1" applyBorder="1" applyAlignment="1">
      <alignment horizontal="center" vertical="center" wrapText="1"/>
    </xf>
    <xf numFmtId="0" fontId="45" fillId="0" borderId="101" xfId="0" applyFont="1" applyBorder="1" applyAlignment="1">
      <alignment horizontal="left" vertical="center" wrapText="1"/>
    </xf>
    <xf numFmtId="2" fontId="45" fillId="0" borderId="101" xfId="0" applyNumberFormat="1" applyFont="1" applyBorder="1" applyAlignment="1">
      <alignment horizontal="center" vertical="center" wrapText="1"/>
    </xf>
    <xf numFmtId="0" fontId="45" fillId="0" borderId="101" xfId="0" applyFont="1" applyBorder="1" applyAlignment="1">
      <alignment horizontal="center" vertical="center" wrapText="1"/>
    </xf>
    <xf numFmtId="0" fontId="42" fillId="4" borderId="103" xfId="0" applyFont="1" applyFill="1" applyBorder="1"/>
    <xf numFmtId="0" fontId="42" fillId="4" borderId="104" xfId="0" applyFont="1" applyFill="1" applyBorder="1" applyAlignment="1">
      <alignment horizontal="right" vertical="center"/>
    </xf>
    <xf numFmtId="2" fontId="42" fillId="4" borderId="104" xfId="0" applyNumberFormat="1" applyFont="1" applyFill="1" applyBorder="1" applyAlignment="1">
      <alignment horizontal="center" vertical="center" wrapText="1"/>
    </xf>
    <xf numFmtId="0" fontId="42" fillId="4" borderId="104" xfId="0" applyFont="1" applyFill="1" applyBorder="1" applyAlignment="1">
      <alignment horizontal="center" vertical="center" wrapText="1"/>
    </xf>
    <xf numFmtId="0" fontId="1" fillId="0" borderId="1" xfId="5" applyBorder="1" applyAlignment="1">
      <alignment horizontal="center" vertical="center"/>
    </xf>
    <xf numFmtId="172" fontId="1" fillId="0" borderId="0" xfId="15" applyAlignment="1">
      <alignment vertical="center"/>
    </xf>
    <xf numFmtId="0" fontId="1" fillId="0" borderId="0" xfId="5" applyAlignment="1">
      <alignment vertical="center"/>
    </xf>
    <xf numFmtId="173" fontId="1" fillId="9" borderId="1" xfId="15" applyNumberFormat="1" applyFill="1" applyBorder="1" applyAlignment="1">
      <alignment vertical="center"/>
    </xf>
    <xf numFmtId="0" fontId="12" fillId="0" borderId="1" xfId="5" applyFont="1" applyBorder="1" applyAlignment="1">
      <alignment horizontal="center" vertical="center"/>
    </xf>
    <xf numFmtId="0" fontId="1" fillId="0" borderId="0" xfId="5" applyAlignment="1">
      <alignment horizontal="center" vertical="center"/>
    </xf>
    <xf numFmtId="0" fontId="51" fillId="0" borderId="25" xfId="16" applyBorder="1" applyAlignment="1">
      <alignment horizontal="center" vertical="center" wrapText="1"/>
    </xf>
    <xf numFmtId="0" fontId="51" fillId="0" borderId="0" xfId="16" applyAlignment="1">
      <alignment horizontal="center" vertical="center"/>
    </xf>
    <xf numFmtId="0" fontId="12" fillId="18" borderId="1" xfId="5" applyFont="1" applyFill="1" applyBorder="1" applyAlignment="1">
      <alignment horizontal="center" vertical="center"/>
    </xf>
    <xf numFmtId="0" fontId="41" fillId="18" borderId="1" xfId="17" applyFont="1" applyFill="1" applyBorder="1" applyAlignment="1">
      <alignment horizontal="center" vertical="center"/>
    </xf>
    <xf numFmtId="43" fontId="1" fillId="18" borderId="1" xfId="3" applyFont="1" applyFill="1" applyBorder="1" applyAlignment="1">
      <alignment horizontal="center" vertical="center"/>
    </xf>
    <xf numFmtId="43" fontId="1" fillId="18" borderId="1" xfId="3" applyFont="1" applyFill="1" applyBorder="1" applyAlignment="1">
      <alignment horizontal="right" vertical="center"/>
    </xf>
    <xf numFmtId="172" fontId="0" fillId="0" borderId="1" xfId="15" applyFont="1" applyBorder="1" applyAlignment="1">
      <alignment horizontal="center" vertical="center"/>
    </xf>
    <xf numFmtId="172" fontId="12" fillId="0" borderId="1" xfId="15" applyFont="1" applyBorder="1" applyAlignment="1">
      <alignment horizontal="center" vertical="center"/>
    </xf>
    <xf numFmtId="0" fontId="0" fillId="0" borderId="1" xfId="5" applyFont="1" applyBorder="1" applyAlignment="1">
      <alignment vertical="center"/>
    </xf>
    <xf numFmtId="0" fontId="0" fillId="0" borderId="0" xfId="5" applyFont="1" applyAlignment="1">
      <alignment vertical="center"/>
    </xf>
    <xf numFmtId="0" fontId="41" fillId="0" borderId="1" xfId="5" applyFont="1" applyBorder="1" applyAlignment="1">
      <alignment horizontal="center" vertical="center" wrapText="1"/>
    </xf>
    <xf numFmtId="166" fontId="41" fillId="0" borderId="1" xfId="5" applyNumberFormat="1" applyFont="1" applyBorder="1" applyAlignment="1">
      <alignment horizontal="center" vertical="center" wrapText="1"/>
    </xf>
    <xf numFmtId="43" fontId="41" fillId="0" borderId="1" xfId="3" applyFont="1" applyBorder="1" applyAlignment="1">
      <alignment horizontal="center" vertical="center" wrapText="1"/>
    </xf>
    <xf numFmtId="174" fontId="1" fillId="9" borderId="1" xfId="3" applyNumberFormat="1" applyFont="1" applyFill="1" applyBorder="1" applyAlignment="1">
      <alignment horizontal="center" vertical="center"/>
    </xf>
    <xf numFmtId="43" fontId="1" fillId="5" borderId="1" xfId="3" applyFont="1" applyFill="1" applyBorder="1" applyAlignment="1">
      <alignment horizontal="right" vertical="center"/>
    </xf>
    <xf numFmtId="172" fontId="0" fillId="0" borderId="1" xfId="15" applyFont="1" applyBorder="1" applyAlignment="1">
      <alignment vertical="center"/>
    </xf>
    <xf numFmtId="172" fontId="1" fillId="9" borderId="1" xfId="15" applyFill="1" applyBorder="1" applyAlignment="1">
      <alignment vertical="center"/>
    </xf>
    <xf numFmtId="172" fontId="12" fillId="9" borderId="1" xfId="15" applyFont="1" applyFill="1" applyBorder="1" applyAlignment="1">
      <alignment vertical="center"/>
    </xf>
    <xf numFmtId="172" fontId="1" fillId="9" borderId="1" xfId="5" applyNumberFormat="1" applyFill="1" applyBorder="1" applyAlignment="1">
      <alignment vertical="center"/>
    </xf>
    <xf numFmtId="172" fontId="1" fillId="0" borderId="0" xfId="5" applyNumberFormat="1" applyAlignment="1">
      <alignment vertical="center"/>
    </xf>
    <xf numFmtId="175" fontId="1" fillId="0" borderId="0" xfId="5" applyNumberFormat="1" applyAlignment="1">
      <alignment vertical="center"/>
    </xf>
    <xf numFmtId="1" fontId="41" fillId="0" borderId="1" xfId="5" applyNumberFormat="1" applyFont="1" applyBorder="1" applyAlignment="1">
      <alignment horizontal="center" vertical="center" wrapText="1"/>
    </xf>
    <xf numFmtId="172" fontId="91" fillId="9" borderId="1" xfId="15" applyFont="1" applyFill="1" applyBorder="1"/>
    <xf numFmtId="0" fontId="12" fillId="7" borderId="1" xfId="5" applyFont="1" applyFill="1" applyBorder="1" applyAlignment="1">
      <alignment horizontal="center" vertical="center"/>
    </xf>
    <xf numFmtId="174" fontId="41" fillId="7" borderId="1" xfId="18" applyNumberFormat="1" applyFont="1" applyFill="1" applyBorder="1" applyAlignment="1">
      <alignment horizontal="center" vertical="center" wrapText="1"/>
    </xf>
    <xf numFmtId="0" fontId="41" fillId="7" borderId="1" xfId="17" applyFont="1" applyFill="1" applyBorder="1" applyAlignment="1">
      <alignment horizontal="center" vertical="center"/>
    </xf>
    <xf numFmtId="43" fontId="1" fillId="7" borderId="1" xfId="3" applyFont="1" applyFill="1" applyBorder="1" applyAlignment="1">
      <alignment horizontal="center" vertical="center"/>
    </xf>
    <xf numFmtId="43" fontId="12" fillId="7" borderId="1" xfId="3" applyFont="1" applyFill="1" applyBorder="1" applyAlignment="1">
      <alignment horizontal="right" vertical="center"/>
    </xf>
    <xf numFmtId="0" fontId="89" fillId="0" borderId="18" xfId="5" applyFont="1" applyBorder="1" applyAlignment="1">
      <alignment horizontal="left" vertical="center" wrapText="1"/>
    </xf>
    <xf numFmtId="0" fontId="89" fillId="0" borderId="19" xfId="5" applyFont="1" applyBorder="1" applyAlignment="1">
      <alignment horizontal="left" vertical="center" wrapText="1"/>
    </xf>
    <xf numFmtId="0" fontId="89" fillId="0" borderId="20" xfId="5" applyFont="1" applyBorder="1" applyAlignment="1">
      <alignment horizontal="left" vertical="center" wrapText="1"/>
    </xf>
    <xf numFmtId="174" fontId="41" fillId="0" borderId="1" xfId="18" applyNumberFormat="1" applyFont="1" applyBorder="1" applyAlignment="1">
      <alignment horizontal="center" vertical="center" wrapText="1"/>
    </xf>
    <xf numFmtId="0" fontId="41" fillId="0" borderId="1" xfId="17" applyFont="1" applyBorder="1" applyAlignment="1">
      <alignment horizontal="center" vertical="center"/>
    </xf>
    <xf numFmtId="43" fontId="1" fillId="0" borderId="1" xfId="3" applyFont="1" applyBorder="1" applyAlignment="1">
      <alignment horizontal="center" vertical="center"/>
    </xf>
    <xf numFmtId="43" fontId="12" fillId="0" borderId="1" xfId="3" applyFont="1" applyBorder="1" applyAlignment="1">
      <alignment horizontal="right" vertical="center"/>
    </xf>
    <xf numFmtId="176" fontId="0" fillId="0" borderId="13" xfId="0" applyNumberFormat="1" applyBorder="1"/>
    <xf numFmtId="0" fontId="82" fillId="32" borderId="2" xfId="0" applyFont="1" applyFill="1" applyBorder="1"/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 indent="1"/>
    </xf>
    <xf numFmtId="4" fontId="9" fillId="5" borderId="2" xfId="0" applyNumberFormat="1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177" fontId="92" fillId="5" borderId="13" xfId="2" applyNumberFormat="1" applyFont="1" applyFill="1" applyBorder="1" applyAlignment="1">
      <alignment horizontal="center" vertical="center" wrapText="1"/>
    </xf>
    <xf numFmtId="41" fontId="9" fillId="5" borderId="15" xfId="0" applyNumberFormat="1" applyFont="1" applyFill="1" applyBorder="1" applyAlignment="1">
      <alignment horizontal="center" vertical="center"/>
    </xf>
    <xf numFmtId="14" fontId="92" fillId="5" borderId="1" xfId="2" applyNumberFormat="1" applyFont="1" applyFill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/>
    </xf>
    <xf numFmtId="166" fontId="9" fillId="5" borderId="2" xfId="1" applyNumberFormat="1" applyFont="1" applyFill="1" applyBorder="1" applyAlignment="1">
      <alignment horizontal="right" vertical="center" indent="1"/>
    </xf>
    <xf numFmtId="43" fontId="9" fillId="5" borderId="2" xfId="1" applyFont="1" applyFill="1" applyBorder="1" applyAlignment="1">
      <alignment horizontal="left" vertical="center" wrapText="1" indent="1"/>
    </xf>
    <xf numFmtId="0" fontId="9" fillId="32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 indent="1"/>
    </xf>
    <xf numFmtId="3" fontId="9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41" fontId="9" fillId="4" borderId="2" xfId="0" applyNumberFormat="1" applyFont="1" applyFill="1" applyBorder="1" applyAlignment="1">
      <alignment horizontal="center" vertical="center"/>
    </xf>
    <xf numFmtId="14" fontId="9" fillId="4" borderId="2" xfId="0" applyNumberFormat="1" applyFont="1" applyFill="1" applyBorder="1" applyAlignment="1">
      <alignment horizontal="center" vertical="center"/>
    </xf>
    <xf numFmtId="166" fontId="9" fillId="4" borderId="2" xfId="1" applyNumberFormat="1" applyFont="1" applyFill="1" applyBorder="1" applyAlignment="1">
      <alignment horizontal="right" vertical="center" indent="1"/>
    </xf>
    <xf numFmtId="167" fontId="9" fillId="4" borderId="2" xfId="0" applyNumberFormat="1" applyFont="1" applyFill="1" applyBorder="1" applyAlignment="1">
      <alignment horizontal="right" vertical="center" indent="1"/>
    </xf>
    <xf numFmtId="43" fontId="8" fillId="32" borderId="2" xfId="1" applyFont="1" applyFill="1" applyBorder="1"/>
    <xf numFmtId="167" fontId="8" fillId="32" borderId="2" xfId="0" applyNumberFormat="1" applyFont="1" applyFill="1" applyBorder="1"/>
    <xf numFmtId="176" fontId="0" fillId="0" borderId="0" xfId="0" applyNumberFormat="1"/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0" fontId="0" fillId="0" borderId="115" xfId="0" applyBorder="1"/>
    <xf numFmtId="0" fontId="93" fillId="0" borderId="117" xfId="0" applyFont="1" applyBorder="1" applyAlignment="1">
      <alignment vertical="center" wrapText="1"/>
    </xf>
    <xf numFmtId="0" fontId="93" fillId="0" borderId="118" xfId="0" applyFont="1" applyBorder="1" applyAlignment="1">
      <alignment horizontal="center" vertical="center" wrapText="1"/>
    </xf>
    <xf numFmtId="0" fontId="95" fillId="0" borderId="0" xfId="0" applyFont="1" applyAlignment="1">
      <alignment horizontal="left" vertical="center" wrapText="1"/>
    </xf>
    <xf numFmtId="0" fontId="94" fillId="0" borderId="0" xfId="0" applyFont="1" applyAlignment="1">
      <alignment horizontal="center" vertical="center" wrapText="1"/>
    </xf>
    <xf numFmtId="0" fontId="96" fillId="0" borderId="0" xfId="0" applyFont="1" applyAlignment="1">
      <alignment horizontal="center" vertical="center" wrapText="1"/>
    </xf>
    <xf numFmtId="0" fontId="0" fillId="0" borderId="120" xfId="0" applyBorder="1"/>
    <xf numFmtId="0" fontId="0" fillId="0" borderId="121" xfId="0" applyBorder="1"/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25" xfId="0" applyBorder="1"/>
    <xf numFmtId="0" fontId="97" fillId="5" borderId="0" xfId="0" applyFont="1" applyFill="1"/>
    <xf numFmtId="177" fontId="0" fillId="0" borderId="0" xfId="0" applyNumberFormat="1"/>
    <xf numFmtId="44" fontId="93" fillId="0" borderId="116" xfId="1" applyNumberFormat="1" applyFont="1" applyBorder="1" applyAlignment="1">
      <alignment horizontal="right" vertical="center" wrapText="1"/>
    </xf>
    <xf numFmtId="42" fontId="45" fillId="0" borderId="101" xfId="0" applyNumberFormat="1" applyFont="1" applyBorder="1" applyAlignment="1">
      <alignment horizontal="right" vertical="center"/>
    </xf>
    <xf numFmtId="42" fontId="42" fillId="4" borderId="104" xfId="0" applyNumberFormat="1" applyFont="1" applyFill="1" applyBorder="1" applyAlignment="1">
      <alignment horizontal="right" vertical="center"/>
    </xf>
    <xf numFmtId="42" fontId="45" fillId="0" borderId="102" xfId="0" applyNumberFormat="1" applyFont="1" applyBorder="1" applyAlignment="1">
      <alignment horizontal="right" vertical="center"/>
    </xf>
    <xf numFmtId="42" fontId="42" fillId="4" borderId="105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93" fillId="0" borderId="117" xfId="0" applyFont="1" applyBorder="1" applyAlignment="1">
      <alignment vertical="center"/>
    </xf>
    <xf numFmtId="0" fontId="93" fillId="0" borderId="117" xfId="0" applyFont="1" applyBorder="1" applyAlignment="1">
      <alignment horizontal="left" vertical="center" wrapText="1"/>
    </xf>
    <xf numFmtId="0" fontId="58" fillId="0" borderId="0" xfId="9" applyFont="1" applyAlignment="1">
      <alignment vertical="center"/>
    </xf>
    <xf numFmtId="0" fontId="60" fillId="0" borderId="0" xfId="9" quotePrefix="1" applyFont="1" applyAlignment="1">
      <alignment vertical="center"/>
    </xf>
    <xf numFmtId="0" fontId="99" fillId="36" borderId="5" xfId="0" applyFont="1" applyFill="1" applyBorder="1" applyAlignment="1">
      <alignment horizontal="center" vertical="center"/>
    </xf>
    <xf numFmtId="0" fontId="16" fillId="6" borderId="26" xfId="4" applyFont="1" applyFill="1" applyBorder="1" applyAlignment="1">
      <alignment horizontal="left"/>
    </xf>
    <xf numFmtId="0" fontId="3" fillId="0" borderId="1" xfId="0" quotePrefix="1" applyFont="1" applyBorder="1" applyAlignment="1">
      <alignment horizontal="left" wrapText="1"/>
    </xf>
    <xf numFmtId="0" fontId="3" fillId="24" borderId="1" xfId="2" quotePrefix="1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24" borderId="1" xfId="2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left" wrapText="1"/>
    </xf>
    <xf numFmtId="177" fontId="3" fillId="9" borderId="1" xfId="2" applyNumberFormat="1" applyFont="1" applyFill="1" applyBorder="1" applyAlignment="1">
      <alignment horizontal="left" vertical="center" wrapText="1"/>
    </xf>
    <xf numFmtId="0" fontId="3" fillId="9" borderId="1" xfId="0" quotePrefix="1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wrapText="1"/>
    </xf>
    <xf numFmtId="0" fontId="0" fillId="9" borderId="1" xfId="0" quotePrefix="1" applyFill="1" applyBorder="1" applyAlignment="1">
      <alignment horizontal="left" wrapText="1"/>
    </xf>
    <xf numFmtId="0" fontId="10" fillId="0" borderId="18" xfId="4" applyBorder="1" applyAlignment="1">
      <alignment horizontal="left" wrapText="1"/>
    </xf>
    <xf numFmtId="165" fontId="100" fillId="23" borderId="74" xfId="0" applyNumberFormat="1" applyFont="1" applyFill="1" applyBorder="1" applyAlignment="1">
      <alignment vertical="center"/>
    </xf>
    <xf numFmtId="0" fontId="100" fillId="23" borderId="74" xfId="0" applyFont="1" applyFill="1" applyBorder="1" applyAlignment="1">
      <alignment horizontal="left" vertical="center" indent="1"/>
    </xf>
    <xf numFmtId="165" fontId="100" fillId="5" borderId="76" xfId="0" applyNumberFormat="1" applyFont="1" applyFill="1" applyBorder="1" applyAlignment="1">
      <alignment horizontal="left" vertical="center"/>
    </xf>
    <xf numFmtId="0" fontId="100" fillId="5" borderId="76" xfId="0" applyFont="1" applyFill="1" applyBorder="1" applyAlignment="1">
      <alignment horizontal="left" vertical="center"/>
    </xf>
    <xf numFmtId="0" fontId="100" fillId="5" borderId="75" xfId="0" applyFont="1" applyFill="1" applyBorder="1" applyAlignment="1">
      <alignment horizontal="left" vertical="center"/>
    </xf>
    <xf numFmtId="177" fontId="100" fillId="5" borderId="76" xfId="0" applyNumberFormat="1" applyFont="1" applyFill="1" applyBorder="1" applyAlignment="1">
      <alignment horizontal="left" vertical="center"/>
    </xf>
    <xf numFmtId="0" fontId="0" fillId="0" borderId="0" xfId="0" quotePrefix="1"/>
    <xf numFmtId="0" fontId="55" fillId="0" borderId="43" xfId="9" applyFont="1" applyBorder="1" applyAlignment="1">
      <alignment horizontal="center"/>
    </xf>
    <xf numFmtId="0" fontId="0" fillId="0" borderId="43" xfId="0" applyBorder="1"/>
    <xf numFmtId="0" fontId="61" fillId="0" borderId="0" xfId="9" applyFont="1" applyAlignment="1">
      <alignment horizontal="left"/>
    </xf>
    <xf numFmtId="0" fontId="54" fillId="0" borderId="0" xfId="9"/>
    <xf numFmtId="0" fontId="66" fillId="21" borderId="1" xfId="9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68" fillId="0" borderId="21" xfId="9" applyFont="1" applyBorder="1" applyAlignment="1">
      <alignment horizontal="center"/>
    </xf>
    <xf numFmtId="0" fontId="0" fillId="0" borderId="29" xfId="0" applyBorder="1"/>
    <xf numFmtId="0" fontId="0" fillId="0" borderId="27" xfId="0" applyBorder="1"/>
    <xf numFmtId="0" fontId="67" fillId="0" borderId="0" xfId="9" applyFont="1" applyAlignment="1">
      <alignment horizontal="left"/>
    </xf>
    <xf numFmtId="0" fontId="68" fillId="0" borderId="65" xfId="9" quotePrefix="1" applyFont="1" applyBorder="1" applyAlignment="1">
      <alignment horizontal="center" vertical="center"/>
    </xf>
    <xf numFmtId="0" fontId="0" fillId="0" borderId="158" xfId="0" applyBorder="1"/>
    <xf numFmtId="0" fontId="61" fillId="21" borderId="21" xfId="11" applyFont="1" applyFill="1" applyBorder="1" applyAlignment="1">
      <alignment horizontal="center"/>
    </xf>
    <xf numFmtId="0" fontId="65" fillId="0" borderId="0" xfId="9" applyFont="1" applyAlignment="1">
      <alignment wrapText="1"/>
    </xf>
    <xf numFmtId="0" fontId="68" fillId="0" borderId="55" xfId="9" quotePrefix="1" applyFont="1" applyBorder="1" applyAlignment="1">
      <alignment horizontal="center" vertical="center"/>
    </xf>
    <xf numFmtId="0" fontId="0" fillId="0" borderId="157" xfId="0" applyBorder="1"/>
    <xf numFmtId="17" fontId="67" fillId="21" borderId="1" xfId="9" applyNumberFormat="1" applyFont="1" applyFill="1" applyBorder="1" applyAlignment="1">
      <alignment horizontal="center"/>
    </xf>
    <xf numFmtId="0" fontId="68" fillId="0" borderId="0" xfId="9" applyFont="1" applyAlignment="1">
      <alignment horizontal="right" vertical="center"/>
    </xf>
    <xf numFmtId="0" fontId="75" fillId="0" borderId="1" xfId="9" applyFont="1" applyBorder="1" applyAlignment="1">
      <alignment horizontal="center"/>
    </xf>
    <xf numFmtId="0" fontId="56" fillId="0" borderId="0" xfId="9" applyFont="1" applyAlignment="1">
      <alignment horizontal="center"/>
    </xf>
    <xf numFmtId="0" fontId="57" fillId="0" borderId="0" xfId="9" applyFont="1" applyAlignment="1">
      <alignment horizontal="center"/>
    </xf>
    <xf numFmtId="0" fontId="69" fillId="0" borderId="58" xfId="12" applyFont="1" applyBorder="1" applyAlignment="1">
      <alignment horizontal="left" vertical="center" wrapText="1"/>
    </xf>
    <xf numFmtId="0" fontId="0" fillId="0" borderId="155" xfId="0" applyBorder="1"/>
    <xf numFmtId="0" fontId="0" fillId="0" borderId="156" xfId="0" applyBorder="1"/>
    <xf numFmtId="0" fontId="62" fillId="0" borderId="0" xfId="9" applyFont="1" applyAlignment="1">
      <alignment horizontal="left"/>
    </xf>
    <xf numFmtId="0" fontId="68" fillId="0" borderId="60" xfId="9" quotePrefix="1" applyFont="1" applyBorder="1" applyAlignment="1">
      <alignment horizontal="center" vertical="center"/>
    </xf>
    <xf numFmtId="0" fontId="0" fillId="0" borderId="154" xfId="0" applyBorder="1"/>
    <xf numFmtId="0" fontId="68" fillId="0" borderId="64" xfId="9" quotePrefix="1" applyFont="1" applyBorder="1" applyAlignment="1">
      <alignment horizontal="center" vertical="center"/>
    </xf>
    <xf numFmtId="0" fontId="0" fillId="0" borderId="153" xfId="0" applyBorder="1"/>
    <xf numFmtId="17" fontId="62" fillId="0" borderId="0" xfId="9" applyNumberFormat="1" applyFont="1" applyAlignment="1">
      <alignment horizontal="left"/>
    </xf>
    <xf numFmtId="0" fontId="66" fillId="21" borderId="28" xfId="9" applyFont="1" applyFill="1" applyBorder="1" applyAlignment="1">
      <alignment horizontal="center"/>
    </xf>
    <xf numFmtId="9" fontId="74" fillId="0" borderId="1" xfId="14" applyFont="1" applyBorder="1" applyAlignment="1">
      <alignment horizontal="center"/>
    </xf>
    <xf numFmtId="0" fontId="69" fillId="0" borderId="66" xfId="12" applyFont="1" applyBorder="1" applyAlignment="1">
      <alignment horizontal="left" wrapText="1"/>
    </xf>
    <xf numFmtId="0" fontId="0" fillId="0" borderId="159" xfId="0" applyBorder="1"/>
    <xf numFmtId="0" fontId="54" fillId="0" borderId="25" xfId="9" applyBorder="1" applyAlignment="1">
      <alignment horizontal="center"/>
    </xf>
    <xf numFmtId="0" fontId="0" fillId="0" borderId="32" xfId="0" applyBorder="1"/>
    <xf numFmtId="0" fontId="0" fillId="0" borderId="24" xfId="0" applyBorder="1"/>
    <xf numFmtId="0" fontId="48" fillId="5" borderId="1" xfId="5" applyFont="1" applyFill="1" applyBorder="1" applyAlignment="1">
      <alignment horizontal="center" vertical="center"/>
    </xf>
    <xf numFmtId="0" fontId="48" fillId="5" borderId="21" xfId="6" applyFont="1" applyFill="1" applyBorder="1" applyAlignment="1">
      <alignment horizontal="center" vertical="center" wrapText="1"/>
    </xf>
    <xf numFmtId="0" fontId="37" fillId="17" borderId="1" xfId="4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/>
    <xf numFmtId="0" fontId="94" fillId="0" borderId="119" xfId="0" applyFont="1" applyBorder="1" applyAlignment="1">
      <alignment horizontal="left" vertical="center" wrapText="1"/>
    </xf>
    <xf numFmtId="0" fontId="0" fillId="0" borderId="118" xfId="0" applyBorder="1"/>
    <xf numFmtId="0" fontId="0" fillId="0" borderId="119" xfId="0" applyBorder="1"/>
    <xf numFmtId="0" fontId="93" fillId="0" borderId="0" xfId="0" applyFont="1" applyAlignment="1">
      <alignment horizontal="center" vertical="center" wrapText="1"/>
    </xf>
    <xf numFmtId="177" fontId="0" fillId="0" borderId="0" xfId="0" applyNumberFormat="1" applyAlignment="1">
      <alignment horizontal="left"/>
    </xf>
    <xf numFmtId="0" fontId="95" fillId="0" borderId="0" xfId="0" applyFont="1" applyAlignment="1">
      <alignment horizontal="left" vertical="center" wrapText="1"/>
    </xf>
    <xf numFmtId="177" fontId="94" fillId="0" borderId="0" xfId="0" applyNumberFormat="1" applyFont="1" applyAlignment="1">
      <alignment horizontal="left" vertical="center" wrapText="1"/>
    </xf>
    <xf numFmtId="0" fontId="94" fillId="0" borderId="0" xfId="0" applyFont="1" applyAlignment="1">
      <alignment horizontal="center" vertical="center" wrapText="1"/>
    </xf>
    <xf numFmtId="0" fontId="96" fillId="0" borderId="0" xfId="0" applyFont="1" applyAlignment="1">
      <alignment horizontal="center" vertical="center" wrapText="1"/>
    </xf>
    <xf numFmtId="0" fontId="98" fillId="35" borderId="116" xfId="0" applyFont="1" applyFill="1" applyBorder="1" applyAlignment="1">
      <alignment horizontal="center" vertical="center" wrapText="1"/>
    </xf>
    <xf numFmtId="0" fontId="93" fillId="34" borderId="116" xfId="0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/>
    </xf>
    <xf numFmtId="0" fontId="85" fillId="28" borderId="93" xfId="0" applyFont="1" applyFill="1" applyBorder="1" applyAlignment="1">
      <alignment horizontal="center" vertical="center"/>
    </xf>
    <xf numFmtId="0" fontId="0" fillId="0" borderId="128" xfId="0" applyBorder="1"/>
    <xf numFmtId="0" fontId="5" fillId="0" borderId="0" xfId="0" applyFont="1" applyAlignment="1">
      <alignment horizontal="center"/>
    </xf>
    <xf numFmtId="165" fontId="79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0" xfId="0" applyFont="1"/>
    <xf numFmtId="165" fontId="4" fillId="0" borderId="0" xfId="0" applyNumberFormat="1" applyFont="1" applyAlignment="1">
      <alignment horizontal="left"/>
    </xf>
    <xf numFmtId="165" fontId="0" fillId="0" borderId="0" xfId="0" applyNumberFormat="1" applyAlignment="1">
      <alignment horizontal="center"/>
    </xf>
    <xf numFmtId="177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165" fontId="80" fillId="29" borderId="0" xfId="0" applyNumberFormat="1" applyFont="1" applyFill="1" applyAlignment="1">
      <alignment horizontal="left"/>
    </xf>
    <xf numFmtId="0" fontId="5" fillId="32" borderId="95" xfId="0" applyFont="1" applyFill="1" applyBorder="1" applyAlignment="1">
      <alignment horizontal="right" vertical="center"/>
    </xf>
    <xf numFmtId="0" fontId="0" fillId="0" borderId="126" xfId="0" applyBorder="1"/>
    <xf numFmtId="0" fontId="0" fillId="0" borderId="127" xfId="0" applyBorder="1"/>
    <xf numFmtId="0" fontId="4" fillId="0" borderId="0" xfId="0" applyFont="1" applyAlignment="1">
      <alignment horizontal="center"/>
    </xf>
    <xf numFmtId="0" fontId="5" fillId="22" borderId="92" xfId="0" applyFont="1" applyFill="1" applyBorder="1"/>
    <xf numFmtId="0" fontId="0" fillId="0" borderId="130" xfId="0" applyBorder="1"/>
    <xf numFmtId="0" fontId="4" fillId="0" borderId="93" xfId="0" applyFont="1" applyBorder="1" applyAlignment="1">
      <alignment horizontal="left" vertical="center" wrapText="1"/>
    </xf>
    <xf numFmtId="0" fontId="80" fillId="29" borderId="0" xfId="0" applyFont="1" applyFill="1" applyAlignment="1">
      <alignment horizontal="left"/>
    </xf>
    <xf numFmtId="0" fontId="84" fillId="27" borderId="90" xfId="0" applyFont="1" applyFill="1" applyBorder="1" applyAlignment="1">
      <alignment horizontal="center" vertical="center" wrapText="1"/>
    </xf>
    <xf numFmtId="0" fontId="0" fillId="0" borderId="129" xfId="0" applyBorder="1"/>
    <xf numFmtId="0" fontId="79" fillId="0" borderId="0" xfId="0" applyFont="1"/>
    <xf numFmtId="0" fontId="45" fillId="0" borderId="139" xfId="0" applyFont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0" fontId="76" fillId="0" borderId="133" xfId="0" applyFont="1" applyBorder="1" applyAlignment="1">
      <alignment horizontal="center" vertical="center" wrapText="1"/>
    </xf>
    <xf numFmtId="0" fontId="0" fillId="0" borderId="39" xfId="0" applyBorder="1"/>
    <xf numFmtId="171" fontId="44" fillId="20" borderId="37" xfId="0" applyNumberFormat="1" applyFont="1" applyFill="1" applyBorder="1" applyAlignment="1">
      <alignment horizontal="center" vertical="center" wrapText="1"/>
    </xf>
    <xf numFmtId="0" fontId="0" fillId="0" borderId="131" xfId="0" applyBorder="1"/>
    <xf numFmtId="0" fontId="0" fillId="0" borderId="132" xfId="0" applyBorder="1"/>
    <xf numFmtId="0" fontId="46" fillId="29" borderId="99" xfId="0" applyFont="1" applyFill="1" applyBorder="1" applyAlignment="1">
      <alignment horizontal="center" vertical="center" wrapText="1"/>
    </xf>
    <xf numFmtId="0" fontId="0" fillId="0" borderId="137" xfId="0" applyBorder="1"/>
    <xf numFmtId="0" fontId="45" fillId="0" borderId="133" xfId="0" applyFont="1" applyBorder="1" applyAlignment="1">
      <alignment horizontal="center" vertical="center" wrapText="1"/>
    </xf>
    <xf numFmtId="0" fontId="0" fillId="0" borderId="135" xfId="0" applyBorder="1"/>
    <xf numFmtId="0" fontId="42" fillId="0" borderId="138" xfId="0" applyFont="1" applyBorder="1" applyAlignment="1">
      <alignment horizontal="center" vertical="center" wrapText="1"/>
    </xf>
    <xf numFmtId="0" fontId="0" fillId="0" borderId="35" xfId="0" applyBorder="1"/>
    <xf numFmtId="0" fontId="0" fillId="0" borderId="38" xfId="0" applyBorder="1"/>
    <xf numFmtId="165" fontId="42" fillId="5" borderId="36" xfId="0" applyNumberFormat="1" applyFont="1" applyFill="1" applyBorder="1" applyAlignment="1">
      <alignment horizontal="left" vertical="center" wrapText="1"/>
    </xf>
    <xf numFmtId="0" fontId="46" fillId="29" borderId="98" xfId="0" applyFont="1" applyFill="1" applyBorder="1" applyAlignment="1">
      <alignment horizontal="center" vertical="center" wrapText="1"/>
    </xf>
    <xf numFmtId="0" fontId="0" fillId="0" borderId="134" xfId="0" applyBorder="1"/>
    <xf numFmtId="0" fontId="43" fillId="20" borderId="37" xfId="0" applyFont="1" applyFill="1" applyBorder="1" applyAlignment="1">
      <alignment horizontal="center" vertical="center" wrapText="1"/>
    </xf>
    <xf numFmtId="165" fontId="42" fillId="19" borderId="36" xfId="0" applyNumberFormat="1" applyFont="1" applyFill="1" applyBorder="1" applyAlignment="1">
      <alignment horizontal="left" vertical="center" wrapText="1"/>
    </xf>
    <xf numFmtId="0" fontId="38" fillId="5" borderId="0" xfId="0" applyFont="1" applyFill="1" applyAlignment="1">
      <alignment horizontal="center" vertical="center" wrapText="1"/>
    </xf>
    <xf numFmtId="165" fontId="42" fillId="19" borderId="34" xfId="0" applyNumberFormat="1" applyFont="1" applyFill="1" applyBorder="1" applyAlignment="1">
      <alignment horizontal="left" vertical="center" wrapText="1"/>
    </xf>
    <xf numFmtId="0" fontId="0" fillId="0" borderId="136" xfId="0" applyBorder="1"/>
    <xf numFmtId="165" fontId="42" fillId="5" borderId="34" xfId="0" applyNumberFormat="1" applyFont="1" applyFill="1" applyBorder="1" applyAlignment="1">
      <alignment horizontal="left" vertical="center" wrapText="1"/>
    </xf>
    <xf numFmtId="0" fontId="0" fillId="29" borderId="0" xfId="0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4" fillId="33" borderId="2" xfId="0" applyFont="1" applyFill="1" applyBorder="1" applyAlignment="1">
      <alignment horizontal="right" vertical="center" indent="1"/>
    </xf>
    <xf numFmtId="0" fontId="0" fillId="0" borderId="140" xfId="0" applyBorder="1"/>
    <xf numFmtId="0" fontId="0" fillId="0" borderId="15" xfId="0" applyBorder="1"/>
    <xf numFmtId="165" fontId="8" fillId="3" borderId="0" xfId="0" applyNumberFormat="1" applyFont="1" applyFill="1" applyAlignment="1">
      <alignment horizontal="left" vertical="center"/>
    </xf>
    <xf numFmtId="0" fontId="86" fillId="27" borderId="2" xfId="0" applyFont="1" applyFill="1" applyBorder="1" applyAlignment="1">
      <alignment horizontal="center" vertical="center" wrapText="1"/>
    </xf>
    <xf numFmtId="0" fontId="0" fillId="0" borderId="17" xfId="0" applyBorder="1"/>
    <xf numFmtId="165" fontId="8" fillId="3" borderId="0" xfId="0" applyNumberFormat="1" applyFont="1" applyFill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8" fillId="30" borderId="0" xfId="0" applyNumberFormat="1" applyFont="1" applyFill="1" applyAlignment="1">
      <alignment horizontal="left" vertical="center"/>
    </xf>
    <xf numFmtId="43" fontId="35" fillId="16" borderId="1" xfId="3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177" fontId="9" fillId="29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43" fontId="3" fillId="16" borderId="21" xfId="3" applyFont="1" applyFill="1" applyBorder="1" applyAlignment="1">
      <alignment horizontal="center" vertical="center" wrapText="1"/>
    </xf>
    <xf numFmtId="0" fontId="0" fillId="0" borderId="22" xfId="0" applyBorder="1"/>
    <xf numFmtId="165" fontId="8" fillId="30" borderId="0" xfId="0" applyNumberFormat="1" applyFont="1" applyFill="1" applyAlignment="1">
      <alignment horizontal="left" vertical="center" indent="1"/>
    </xf>
    <xf numFmtId="0" fontId="9" fillId="29" borderId="0" xfId="0" applyFont="1" applyFill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177" fontId="0" fillId="4" borderId="0" xfId="0" applyNumberFormat="1" applyFill="1" applyAlignment="1">
      <alignment horizontal="left" vertical="center" wrapText="1"/>
    </xf>
    <xf numFmtId="0" fontId="12" fillId="29" borderId="0" xfId="0" applyFont="1" applyFill="1" applyAlignment="1">
      <alignment horizontal="center"/>
    </xf>
    <xf numFmtId="0" fontId="9" fillId="29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47" fillId="36" borderId="4" xfId="0" applyFont="1" applyFill="1" applyBorder="1" applyAlignment="1">
      <alignment horizontal="center" vertical="center" wrapText="1"/>
    </xf>
    <xf numFmtId="0" fontId="0" fillId="0" borderId="141" xfId="0" applyBorder="1"/>
    <xf numFmtId="0" fontId="30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left" vertical="center"/>
    </xf>
    <xf numFmtId="0" fontId="31" fillId="5" borderId="0" xfId="0" applyFont="1" applyFill="1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top" wrapText="1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142" xfId="0" applyBorder="1"/>
    <xf numFmtId="0" fontId="0" fillId="0" borderId="14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43" fontId="22" fillId="2" borderId="86" xfId="0" applyNumberFormat="1" applyFont="1" applyFill="1" applyBorder="1" applyAlignment="1">
      <alignment horizontal="left" vertical="center" wrapText="1"/>
    </xf>
    <xf numFmtId="0" fontId="0" fillId="0" borderId="144" xfId="0" applyBorder="1"/>
    <xf numFmtId="0" fontId="15" fillId="0" borderId="0" xfId="0" applyFont="1" applyAlignment="1">
      <alignment horizontal="left" vertical="center"/>
    </xf>
    <xf numFmtId="165" fontId="100" fillId="23" borderId="74" xfId="0" applyNumberFormat="1" applyFont="1" applyFill="1" applyBorder="1" applyAlignment="1">
      <alignment horizontal="left" vertical="center"/>
    </xf>
    <xf numFmtId="0" fontId="0" fillId="0" borderId="79" xfId="0" applyBorder="1"/>
    <xf numFmtId="0" fontId="19" fillId="0" borderId="0" xfId="0" applyFont="1" applyAlignment="1">
      <alignment horizontal="left" vertical="center"/>
    </xf>
    <xf numFmtId="0" fontId="20" fillId="2" borderId="8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3" fontId="22" fillId="2" borderId="88" xfId="0" applyNumberFormat="1" applyFont="1" applyFill="1" applyBorder="1" applyAlignment="1">
      <alignment horizontal="left" vertical="center" wrapText="1"/>
    </xf>
    <xf numFmtId="0" fontId="0" fillId="0" borderId="145" xfId="0" applyBorder="1"/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2" fillId="2" borderId="86" xfId="0" applyFont="1" applyFill="1" applyBorder="1" applyAlignment="1">
      <alignment horizontal="left" vertical="center" wrapText="1" indent="1"/>
    </xf>
    <xf numFmtId="0" fontId="14" fillId="6" borderId="0" xfId="0" applyFont="1" applyFill="1" applyAlignment="1">
      <alignment horizontal="center" vertical="center"/>
    </xf>
    <xf numFmtId="0" fontId="22" fillId="2" borderId="88" xfId="0" applyFont="1" applyFill="1" applyBorder="1" applyAlignment="1">
      <alignment horizontal="left" vertical="center" wrapText="1" indent="1"/>
    </xf>
    <xf numFmtId="0" fontId="20" fillId="2" borderId="88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left" vertical="center" indent="1"/>
    </xf>
    <xf numFmtId="0" fontId="0" fillId="0" borderId="148" xfId="0" applyBorder="1"/>
    <xf numFmtId="0" fontId="0" fillId="0" borderId="149" xfId="0" applyBorder="1"/>
    <xf numFmtId="165" fontId="100" fillId="23" borderId="71" xfId="0" applyNumberFormat="1" applyFont="1" applyFill="1" applyBorder="1" applyAlignment="1">
      <alignment horizontal="left" vertical="center"/>
    </xf>
    <xf numFmtId="0" fontId="0" fillId="0" borderId="152" xfId="0" applyBorder="1"/>
    <xf numFmtId="0" fontId="83" fillId="27" borderId="84" xfId="0" applyFont="1" applyFill="1" applyBorder="1" applyAlignment="1">
      <alignment horizontal="center" vertical="center"/>
    </xf>
    <xf numFmtId="0" fontId="0" fillId="0" borderId="150" xfId="0" applyBorder="1"/>
    <xf numFmtId="0" fontId="15" fillId="0" borderId="82" xfId="0" applyFont="1" applyBorder="1" applyAlignment="1">
      <alignment horizontal="left" vertical="center" wrapText="1"/>
    </xf>
    <xf numFmtId="0" fontId="0" fillId="0" borderId="81" xfId="0" applyBorder="1"/>
    <xf numFmtId="0" fontId="0" fillId="0" borderId="82" xfId="0" applyBorder="1"/>
    <xf numFmtId="0" fontId="17" fillId="10" borderId="72" xfId="0" applyFont="1" applyFill="1" applyBorder="1" applyAlignment="1">
      <alignment horizontal="left" vertical="center" indent="1"/>
    </xf>
    <xf numFmtId="0" fontId="0" fillId="0" borderId="146" xfId="0" applyBorder="1"/>
    <xf numFmtId="0" fontId="0" fillId="0" borderId="147" xfId="0" applyBorder="1"/>
    <xf numFmtId="165" fontId="100" fillId="5" borderId="79" xfId="0" applyNumberFormat="1" applyFont="1" applyFill="1" applyBorder="1" applyAlignment="1">
      <alignment horizontal="center" vertical="center"/>
    </xf>
    <xf numFmtId="0" fontId="0" fillId="0" borderId="151" xfId="0" applyBorder="1"/>
    <xf numFmtId="0" fontId="1" fillId="0" borderId="1" xfId="5" applyBorder="1" applyAlignment="1">
      <alignment horizontal="center" vertical="center"/>
    </xf>
    <xf numFmtId="0" fontId="0" fillId="0" borderId="30" xfId="0" applyBorder="1"/>
    <xf numFmtId="0" fontId="1" fillId="0" borderId="0" xfId="5" applyAlignment="1">
      <alignment vertical="center"/>
    </xf>
    <xf numFmtId="0" fontId="1" fillId="0" borderId="0" xfId="5" applyAlignment="1">
      <alignment horizontal="center" vertical="center"/>
    </xf>
    <xf numFmtId="0" fontId="0" fillId="0" borderId="31" xfId="0" applyBorder="1"/>
    <xf numFmtId="0" fontId="0" fillId="0" borderId="26" xfId="0" applyBorder="1"/>
    <xf numFmtId="0" fontId="12" fillId="0" borderId="1" xfId="5" applyFont="1" applyBorder="1" applyAlignment="1">
      <alignment horizontal="center" vertical="center"/>
    </xf>
    <xf numFmtId="172" fontId="12" fillId="0" borderId="1" xfId="15" applyFont="1" applyBorder="1" applyAlignment="1">
      <alignment horizontal="center" vertical="center" wrapText="1"/>
    </xf>
    <xf numFmtId="0" fontId="0" fillId="0" borderId="25" xfId="0" applyBorder="1"/>
    <xf numFmtId="0" fontId="12" fillId="0" borderId="1" xfId="5" applyFont="1" applyBorder="1" applyAlignment="1">
      <alignment horizontal="center" vertical="center" wrapText="1"/>
    </xf>
    <xf numFmtId="0" fontId="87" fillId="0" borderId="1" xfId="5" applyFont="1" applyBorder="1" applyAlignment="1">
      <alignment horizontal="center" vertical="center"/>
    </xf>
    <xf numFmtId="0" fontId="88" fillId="0" borderId="1" xfId="5" applyFont="1" applyBorder="1" applyAlignment="1">
      <alignment horizontal="center" vertical="center"/>
    </xf>
    <xf numFmtId="0" fontId="89" fillId="7" borderId="1" xfId="5" applyFont="1" applyFill="1" applyBorder="1" applyAlignment="1">
      <alignment horizontal="left" vertical="center" wrapText="1"/>
    </xf>
    <xf numFmtId="0" fontId="89" fillId="18" borderId="1" xfId="5" applyFont="1" applyFill="1" applyBorder="1" applyAlignment="1">
      <alignment horizontal="left" vertical="center" wrapText="1"/>
    </xf>
    <xf numFmtId="0" fontId="90" fillId="5" borderId="1" xfId="5" applyFont="1" applyFill="1" applyBorder="1" applyAlignment="1">
      <alignment horizontal="left" vertical="center" wrapText="1"/>
    </xf>
    <xf numFmtId="0" fontId="90" fillId="0" borderId="1" xfId="5" applyFont="1" applyBorder="1" applyAlignment="1">
      <alignment horizontal="left" vertical="center" wrapText="1"/>
    </xf>
    <xf numFmtId="0" fontId="0" fillId="0" borderId="1" xfId="5" applyFont="1" applyBorder="1" applyAlignment="1">
      <alignment horizontal="center" vertical="center"/>
    </xf>
  </cellXfs>
  <cellStyles count="19">
    <cellStyle name="Comma" xfId="1" builtinId="3"/>
    <cellStyle name="Comma [0] 2" xfId="13" xr:uid="{00000000-0005-0000-0000-00000D000000}"/>
    <cellStyle name="Comma [0] 3" xfId="15" xr:uid="{00000000-0005-0000-0000-00000F000000}"/>
    <cellStyle name="Comma [0] 6" xfId="10" xr:uid="{00000000-0005-0000-0000-00000A000000}"/>
    <cellStyle name="Comma 2 2" xfId="8" xr:uid="{00000000-0005-0000-0000-000008000000}"/>
    <cellStyle name="Comma 2 3" xfId="3" xr:uid="{00000000-0005-0000-0000-000003000000}"/>
    <cellStyle name="Comma 3 2" xfId="18" xr:uid="{00000000-0005-0000-0000-000012000000}"/>
    <cellStyle name="Hyperlink" xfId="7" builtinId="8"/>
    <cellStyle name="Normal" xfId="0" builtinId="0"/>
    <cellStyle name="Normal 14" xfId="6" xr:uid="{00000000-0005-0000-0000-000006000000}"/>
    <cellStyle name="Normal 2" xfId="4" xr:uid="{00000000-0005-0000-0000-000004000000}"/>
    <cellStyle name="Normal 2 2" xfId="9" xr:uid="{00000000-0005-0000-0000-000009000000}"/>
    <cellStyle name="Normal 2 3" xfId="2" xr:uid="{00000000-0005-0000-0000-000002000000}"/>
    <cellStyle name="Normal 3" xfId="16" xr:uid="{00000000-0005-0000-0000-000010000000}"/>
    <cellStyle name="Normal 3 3" xfId="5" xr:uid="{00000000-0005-0000-0000-000005000000}"/>
    <cellStyle name="Normal 4" xfId="11" xr:uid="{00000000-0005-0000-0000-00000B000000}"/>
    <cellStyle name="Normal 5" xfId="17" xr:uid="{00000000-0005-0000-0000-000011000000}"/>
    <cellStyle name="Normal_Konsep Invoice PDSI" xfId="12" xr:uid="{00000000-0005-0000-0000-00000C000000}"/>
    <cellStyle name="Percent 2" xfId="14" xr:uid="{00000000-0005-0000-0000-00000E000000}"/>
  </cellStyles>
  <dxfs count="45">
    <dxf>
      <fill>
        <patternFill>
          <bgColor rgb="FFEFFFE1"/>
        </patternFill>
      </fill>
    </dxf>
    <dxf>
      <fill>
        <patternFill>
          <bgColor rgb="FFF4FBFF"/>
        </patternFill>
      </fill>
    </dxf>
    <dxf>
      <fill>
        <patternFill>
          <bgColor rgb="FFEFFFE1"/>
        </patternFill>
      </fill>
    </dxf>
    <dxf>
      <fill>
        <patternFill>
          <bgColor rgb="FFF4FBFF"/>
        </patternFill>
      </fill>
    </dxf>
    <dxf>
      <fill>
        <patternFill>
          <bgColor rgb="FFF3F9FB"/>
        </patternFill>
      </fill>
    </dxf>
    <dxf>
      <fill>
        <patternFill>
          <bgColor rgb="FFD7E5F5"/>
        </patternFill>
      </fill>
    </dxf>
    <dxf>
      <fill>
        <patternFill>
          <bgColor theme="4" tint="0.79998168889431442"/>
        </patternFill>
      </fill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right" vertical="center" indent="1"/>
      <border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66" formatCode="_-* #,##0.00_-;\-* #,##0.00_-;_-* &quot;-&quot;??_-;_-@_-"/>
      <fill>
        <patternFill patternType="solid">
          <fgColor indexed="64"/>
          <bgColor theme="0"/>
        </patternFill>
      </fill>
      <alignment horizontal="right" vertical="center" indent="1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vertAlign val="baseline"/>
        <sz val="11"/>
        <name val="Calibri"/>
        <family val="2"/>
      </font>
      <numFmt numFmtId="19" formatCode="dd/mm/yyyy"/>
      <fill>
        <patternFill patternType="solid">
          <fgColor indexed="64"/>
          <bgColor theme="0"/>
        </patternFill>
      </fill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33" formatCode="_(* #,##0_);_(* \(#,##0\);_(* &quot;-&quot;_);_(@_)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indexed="64"/>
          <bgColor theme="0"/>
        </patternFill>
      </fill>
      <alignment horizontal="left" vertical="center" indent="1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solid">
          <fgColor indexed="64"/>
          <bgColor theme="0"/>
        </patternFill>
      </fill>
    </dxf>
    <dxf>
      <border outline="0">
        <bottom style="thin">
          <color rgb="FFD9D9D9"/>
        </bottom>
      </border>
    </dxf>
    <dxf>
      <font>
        <color theme="0"/>
      </font>
      <border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168" formatCode="@* &quot;:&quot;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169" formatCode="_([$Rp-421]* #,##0_);_([$Rp-421]* \(#,##0\);_([$Rp-421]* &quot;-&quot;??_);_(@_)"/>
      <fill>
        <patternFill patternType="solid">
          <fgColor indexed="64"/>
          <bgColor theme="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169" formatCode="_([$Rp-421]* #,##0_);_([$Rp-421]* \(#,##0\);_([$Rp-421]* &quot;-&quot;??_);_(@_)"/>
      <fill>
        <patternFill patternType="solid">
          <fgColor indexed="64"/>
          <bgColor theme="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alignment horizontal="left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280987</xdr:colOff>
      <xdr:row>0</xdr:row>
      <xdr:rowOff>4764</xdr:rowOff>
    </xdr:from>
    <xdr:to>
      <xdr:col>7</xdr:col>
      <xdr:colOff>90731</xdr:colOff>
      <xdr:row>3</xdr:row>
      <xdr:rowOff>9527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4337" y="4764"/>
          <a:ext cx="800344" cy="54768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609601</xdr:colOff>
      <xdr:row>0</xdr:row>
      <xdr:rowOff>152400</xdr:rowOff>
    </xdr:from>
    <xdr:to>
      <xdr:col>1</xdr:col>
      <xdr:colOff>1442031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8226" y="152400"/>
          <a:ext cx="832430" cy="5810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9</xdr:col>
      <xdr:colOff>461964</xdr:colOff>
      <xdr:row>1</xdr:row>
      <xdr:rowOff>9526</xdr:rowOff>
    </xdr:from>
    <xdr:to>
      <xdr:col>13</xdr:col>
      <xdr:colOff>347663</xdr:colOff>
      <xdr:row>4</xdr:row>
      <xdr:rowOff>18746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3839" y="190501"/>
          <a:ext cx="2562224" cy="76645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22785</xdr:colOff>
      <xdr:row>41</xdr:row>
      <xdr:rowOff>158753</xdr:rowOff>
    </xdr:from>
    <xdr:to>
      <xdr:col>47</xdr:col>
      <xdr:colOff>201174</xdr:colOff>
      <xdr:row>45</xdr:row>
      <xdr:rowOff>92526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864" t="81869" r="66750" b="8312"/>
        <a:stretch>
          <a:fillRect/>
        </a:stretch>
      </xdr:blipFill>
      <xdr:spPr>
        <a:xfrm rot="5400000">
          <a:off x="10378865" y="6745967"/>
          <a:ext cx="650950" cy="7666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42</xdr:col>
      <xdr:colOff>236965</xdr:colOff>
      <xdr:row>41</xdr:row>
      <xdr:rowOff>96370</xdr:rowOff>
    </xdr:from>
    <xdr:to>
      <xdr:col>45</xdr:col>
      <xdr:colOff>187286</xdr:colOff>
      <xdr:row>45</xdr:row>
      <xdr:rowOff>67025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756363" y="6741458"/>
          <a:ext cx="729129" cy="687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39</xdr:col>
      <xdr:colOff>203493</xdr:colOff>
      <xdr:row>41</xdr:row>
      <xdr:rowOff>73959</xdr:rowOff>
    </xdr:from>
    <xdr:to>
      <xdr:col>42</xdr:col>
      <xdr:colOff>139992</xdr:colOff>
      <xdr:row>45</xdr:row>
      <xdr:rowOff>83975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000111" y="6719047"/>
          <a:ext cx="659279" cy="727193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rbilang.xla" TargetMode="External"/><Relationship Id="rId1" Type="http://schemas.openxmlformats.org/officeDocument/2006/relationships/externalLinkPath" Target="file:///D: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8" displayName="Table8" ref="B5:J30" totalsRowShown="0" headerRowDxfId="44" headerRowBorderDxfId="43" tableBorderDxfId="42" totalsRowBorderDxfId="41" headerRowCellStyle="Normal 3 3">
  <autoFilter ref="B5:J30" xr:uid="{00000000-0009-0000-0100-000001000000}"/>
  <tableColumns count="9">
    <tableColumn id="1" xr3:uid="{00000000-0010-0000-0000-000001000000}" name="No." dataDxfId="40" dataCellStyle="Normal 3 3"/>
    <tableColumn id="9" xr3:uid="{00000000-0010-0000-0000-000009000000}" name="Kategory" dataDxfId="39" dataCellStyle="Normal 3 3"/>
    <tableColumn id="2" xr3:uid="{00000000-0010-0000-0000-000002000000}" name="Description" dataDxfId="38" dataCellStyle="Normal 14"/>
    <tableColumn id="3" xr3:uid="{00000000-0010-0000-0000-000003000000}" name="Qty" dataDxfId="37" dataCellStyle="Normal 3 3"/>
    <tableColumn id="4" xr3:uid="{00000000-0010-0000-0000-000004000000}" name="Unit" dataDxfId="36" dataCellStyle="Normal 3 3"/>
    <tableColumn id="5" xr3:uid="{00000000-0010-0000-0000-000005000000}" name="Rate" dataDxfId="35" dataCellStyle="Normal 3 3"/>
    <tableColumn id="6" xr3:uid="{00000000-0010-0000-0000-000006000000}" name="Unit Price" dataDxfId="34" dataCellStyle="Normal 3 3"/>
    <tableColumn id="7" xr3:uid="{00000000-0010-0000-0000-000007000000}" name="Total Price" dataDxfId="33" dataCellStyle="Normal 3 3">
      <calculatedColumnFormula>E6*H6</calculatedColumnFormula>
    </tableColumn>
    <tableColumn id="8" xr3:uid="{00000000-0010-0000-0000-000008000000}" name="No.2" dataDxfId="32" dataCellStyle="Normal 3 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B5:D39" totalsRowShown="0" headerRowBorderDxfId="31" tableBorderDxfId="30" totalsRowBorderDxfId="29">
  <autoFilter ref="B5:D39" xr:uid="{00000000-0009-0000-0100-000002000000}"/>
  <tableColumns count="3">
    <tableColumn id="1" xr3:uid="{00000000-0010-0000-0100-000001000000}" name="No" dataDxfId="28" dataCellStyle="Normal 2">
      <calculatedColumnFormula>B5+1</calculatedColumnFormula>
    </tableColumn>
    <tableColumn id="2" xr3:uid="{00000000-0010-0000-0100-000002000000}" name="Item" dataDxfId="27" dataCellStyle="Normal 2"/>
    <tableColumn id="3" xr3:uid="{00000000-0010-0000-0100-000003000000}" name="Input" dataDxfId="26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6:N18" totalsRowShown="0" headerRowDxfId="25" dataDxfId="23" headerRowBorderDxfId="24" tableBorderDxfId="22" totalsRowBorderDxfId="21">
  <autoFilter ref="A16:N18" xr:uid="{00000000-0009-0000-0100-000003000000}">
    <filterColumn colId="0" hiddenButton="1"/>
  </autoFilter>
  <tableColumns count="14">
    <tableColumn id="1" xr3:uid="{00000000-0010-0000-0200-000001000000}" name="Column1" dataDxfId="20"/>
    <tableColumn id="2" xr3:uid="{00000000-0010-0000-0200-000002000000}" name="Column2" dataDxfId="19"/>
    <tableColumn id="3" xr3:uid="{00000000-0010-0000-0200-000003000000}" name="Column3" dataDxfId="18"/>
    <tableColumn id="4" xr3:uid="{00000000-0010-0000-0200-000004000000}" name="Column4" dataDxfId="17"/>
    <tableColumn id="5" xr3:uid="{00000000-0010-0000-0200-000005000000}" name="Column5" dataDxfId="16"/>
    <tableColumn id="6" xr3:uid="{00000000-0010-0000-0200-000006000000}" name="Column6" dataDxfId="15"/>
    <tableColumn id="7" xr3:uid="{00000000-0010-0000-0200-000007000000}" name="Column7" dataDxfId="14"/>
    <tableColumn id="8" xr3:uid="{00000000-0010-0000-0200-000008000000}" name="Column8" dataDxfId="13">
      <calculatedColumnFormula>Table3[[#This Row],[Column7]]-Table3[[#This Row],[Column6]]+1</calculatedColumnFormula>
    </tableColumn>
    <tableColumn id="9" xr3:uid="{00000000-0010-0000-0200-000009000000}" name="Column9" dataDxfId="12">
      <calculatedColumnFormula>IF(E17="","","Days")</calculatedColumnFormula>
    </tableColumn>
    <tableColumn id="10" xr3:uid="{00000000-0010-0000-0200-00000A000000}" name="Column10" dataDxfId="11">
      <calculatedColumnFormula>('Heavy Equipment'!AS22+'Heavy Equipment'!AT22)/Table3[[#This Row],[Column8]]</calculatedColumnFormula>
    </tableColumn>
    <tableColumn id="11" xr3:uid="{00000000-0010-0000-0200-00000B000000}" name="Column11" dataDxfId="10"/>
    <tableColumn id="12" xr3:uid="{00000000-0010-0000-0200-00000C000000}" name="Column12" dataDxfId="9">
      <calculatedColumnFormula>VLOOKUP(Table3[[#This Row],[Column3]],Table8[[Description]:[Total Price]],5,0)</calculatedColumnFormula>
    </tableColumn>
    <tableColumn id="13" xr3:uid="{00000000-0010-0000-0200-00000D000000}" name="Column13" dataDxfId="8">
      <calculatedColumnFormula>L17*J17</calculatedColumnFormula>
    </tableColumn>
    <tableColumn id="14" xr3:uid="{00000000-0010-0000-0200-00000E000000}" name="Column14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B3:J30"/>
  <sheetViews>
    <sheetView workbookViewId="0">
      <selection activeCell="C7" sqref="C7"/>
    </sheetView>
  </sheetViews>
  <sheetFormatPr defaultRowHeight="12.75" x14ac:dyDescent="0.35"/>
  <cols>
    <col min="1" max="1" width="1.73046875" style="2" customWidth="1"/>
    <col min="2" max="2" width="5.59765625" style="2" customWidth="1"/>
    <col min="3" max="3" width="13.6640625" style="2" customWidth="1"/>
    <col min="4" max="4" width="67.3984375" style="2" customWidth="1"/>
    <col min="5" max="5" width="5.59765625" style="2" customWidth="1"/>
    <col min="6" max="6" width="6.19921875" style="2" customWidth="1"/>
    <col min="7" max="7" width="8.73046875" style="2" customWidth="1"/>
    <col min="8" max="8" width="16.73046875" style="2" customWidth="1"/>
    <col min="9" max="9" width="18.73046875" style="2" customWidth="1"/>
    <col min="10" max="10" width="6.59765625" style="2" customWidth="1"/>
    <col min="11" max="11" width="9.06640625" style="2" customWidth="1"/>
    <col min="12" max="16384" width="9.06640625" style="2"/>
  </cols>
  <sheetData>
    <row r="3" spans="2:10" ht="13.15" customHeight="1" x14ac:dyDescent="0.45">
      <c r="B3" s="415" t="s">
        <v>29</v>
      </c>
      <c r="C3" s="382"/>
      <c r="D3" s="382"/>
      <c r="E3" s="382"/>
      <c r="F3" s="382"/>
      <c r="G3" s="382"/>
      <c r="H3" s="382"/>
      <c r="I3" s="382"/>
      <c r="J3" s="383"/>
    </row>
    <row r="4" spans="2:10" ht="13.5" customHeight="1" x14ac:dyDescent="0.45">
      <c r="B4" s="416" t="s">
        <v>30</v>
      </c>
      <c r="C4" s="385"/>
      <c r="D4" s="385"/>
      <c r="E4" s="385"/>
      <c r="F4" s="385"/>
      <c r="G4" s="385"/>
      <c r="H4" s="385"/>
      <c r="I4" s="385"/>
      <c r="J4" s="386"/>
    </row>
    <row r="5" spans="2:10" ht="29.25" customHeight="1" x14ac:dyDescent="0.35">
      <c r="B5" s="106" t="s">
        <v>31</v>
      </c>
      <c r="C5" s="106" t="s">
        <v>32</v>
      </c>
      <c r="D5" s="107" t="s">
        <v>33</v>
      </c>
      <c r="E5" s="107" t="s">
        <v>34</v>
      </c>
      <c r="F5" s="107" t="s">
        <v>35</v>
      </c>
      <c r="G5" s="107" t="s">
        <v>36</v>
      </c>
      <c r="H5" s="107" t="s">
        <v>37</v>
      </c>
      <c r="I5" s="107" t="s">
        <v>38</v>
      </c>
      <c r="J5" s="108" t="s">
        <v>39</v>
      </c>
    </row>
    <row r="6" spans="2:10" ht="33.85" customHeight="1" x14ac:dyDescent="0.35">
      <c r="B6" s="90" t="s">
        <v>40</v>
      </c>
      <c r="C6" s="81" t="s">
        <v>41</v>
      </c>
      <c r="D6" s="81" t="s">
        <v>42</v>
      </c>
      <c r="E6" s="82" t="s">
        <v>43</v>
      </c>
      <c r="F6" s="82" t="s">
        <v>43</v>
      </c>
      <c r="G6" s="83" t="s">
        <v>43</v>
      </c>
      <c r="H6" s="82" t="s">
        <v>43</v>
      </c>
      <c r="I6" s="84"/>
      <c r="J6" s="94" t="s">
        <v>40</v>
      </c>
    </row>
    <row r="7" spans="2:10" ht="33.85" customHeight="1" x14ac:dyDescent="0.35">
      <c r="B7" s="91">
        <v>1</v>
      </c>
      <c r="C7" s="81" t="s">
        <v>41</v>
      </c>
      <c r="D7" s="105" t="s">
        <v>44</v>
      </c>
      <c r="E7" s="85">
        <v>36</v>
      </c>
      <c r="F7" s="85" t="s">
        <v>35</v>
      </c>
      <c r="G7" s="85" t="s">
        <v>45</v>
      </c>
      <c r="H7" s="86">
        <v>131224000</v>
      </c>
      <c r="I7" s="86">
        <f>E7*H7</f>
        <v>4724064000</v>
      </c>
      <c r="J7" s="95">
        <v>1</v>
      </c>
    </row>
    <row r="8" spans="2:10" ht="33.85" customHeight="1" x14ac:dyDescent="0.35">
      <c r="B8" s="91">
        <v>2</v>
      </c>
      <c r="C8" s="81" t="s">
        <v>41</v>
      </c>
      <c r="D8" s="105" t="s">
        <v>46</v>
      </c>
      <c r="E8" s="85">
        <v>36</v>
      </c>
      <c r="F8" s="85" t="s">
        <v>35</v>
      </c>
      <c r="G8" s="85" t="s">
        <v>45</v>
      </c>
      <c r="H8" s="86">
        <v>62818000</v>
      </c>
      <c r="I8" s="86">
        <f>E8*H8</f>
        <v>2261448000</v>
      </c>
      <c r="J8" s="95">
        <v>2</v>
      </c>
    </row>
    <row r="9" spans="2:10" ht="33.85" customHeight="1" x14ac:dyDescent="0.35">
      <c r="B9" s="91">
        <v>3</v>
      </c>
      <c r="C9" s="81" t="s">
        <v>41</v>
      </c>
      <c r="D9" s="105" t="s">
        <v>47</v>
      </c>
      <c r="E9" s="85">
        <v>36</v>
      </c>
      <c r="F9" s="85" t="s">
        <v>35</v>
      </c>
      <c r="G9" s="85" t="s">
        <v>45</v>
      </c>
      <c r="H9" s="86">
        <v>189241000</v>
      </c>
      <c r="I9" s="86">
        <f>E9*H9</f>
        <v>6812676000</v>
      </c>
      <c r="J9" s="95">
        <v>3</v>
      </c>
    </row>
    <row r="10" spans="2:10" ht="33.85" customHeight="1" x14ac:dyDescent="0.35">
      <c r="B10" s="91">
        <v>4</v>
      </c>
      <c r="C10" s="81" t="s">
        <v>41</v>
      </c>
      <c r="D10" s="105" t="s">
        <v>48</v>
      </c>
      <c r="E10" s="85">
        <v>36</v>
      </c>
      <c r="F10" s="85" t="s">
        <v>35</v>
      </c>
      <c r="G10" s="85" t="s">
        <v>45</v>
      </c>
      <c r="H10" s="86">
        <v>75538000</v>
      </c>
      <c r="I10" s="86">
        <f>E10*H10</f>
        <v>2719368000</v>
      </c>
      <c r="J10" s="95">
        <v>4</v>
      </c>
    </row>
    <row r="11" spans="2:10" ht="33.85" customHeight="1" x14ac:dyDescent="0.35">
      <c r="B11" s="91">
        <v>5</v>
      </c>
      <c r="C11" s="81" t="s">
        <v>41</v>
      </c>
      <c r="D11" s="105" t="s">
        <v>49</v>
      </c>
      <c r="E11" s="85">
        <v>36</v>
      </c>
      <c r="F11" s="85" t="s">
        <v>35</v>
      </c>
      <c r="G11" s="85" t="s">
        <v>45</v>
      </c>
      <c r="H11" s="86">
        <v>78225000</v>
      </c>
      <c r="I11" s="86">
        <f>E11*H11</f>
        <v>2816100000</v>
      </c>
      <c r="J11" s="95">
        <v>5</v>
      </c>
    </row>
    <row r="12" spans="2:10" ht="33.85" customHeight="1" x14ac:dyDescent="0.35">
      <c r="B12" s="92" t="s">
        <v>50</v>
      </c>
      <c r="C12" s="87" t="s">
        <v>51</v>
      </c>
      <c r="D12" s="87" t="s">
        <v>52</v>
      </c>
      <c r="E12" s="82" t="s">
        <v>43</v>
      </c>
      <c r="F12" s="82" t="s">
        <v>43</v>
      </c>
      <c r="G12" s="83" t="s">
        <v>43</v>
      </c>
      <c r="H12" s="82" t="s">
        <v>43</v>
      </c>
      <c r="I12" s="88"/>
      <c r="J12" s="96" t="s">
        <v>50</v>
      </c>
    </row>
    <row r="13" spans="2:10" ht="33.85" customHeight="1" x14ac:dyDescent="0.35">
      <c r="B13" s="93">
        <v>1</v>
      </c>
      <c r="C13" s="87" t="s">
        <v>51</v>
      </c>
      <c r="D13" s="105" t="s">
        <v>53</v>
      </c>
      <c r="E13" s="85">
        <v>90</v>
      </c>
      <c r="F13" s="85" t="s">
        <v>35</v>
      </c>
      <c r="G13" s="89" t="s">
        <v>54</v>
      </c>
      <c r="H13" s="86">
        <v>1936000</v>
      </c>
      <c r="I13" s="86">
        <f t="shared" ref="I13:I21" si="0">E13*H13</f>
        <v>174240000</v>
      </c>
      <c r="J13" s="97">
        <v>1</v>
      </c>
    </row>
    <row r="14" spans="2:10" ht="33.85" customHeight="1" x14ac:dyDescent="0.35">
      <c r="B14" s="93">
        <f t="shared" ref="B14:B21" si="1">B13+1</f>
        <v>2</v>
      </c>
      <c r="C14" s="87" t="s">
        <v>51</v>
      </c>
      <c r="D14" s="105" t="s">
        <v>55</v>
      </c>
      <c r="E14" s="85">
        <v>120</v>
      </c>
      <c r="F14" s="85" t="s">
        <v>35</v>
      </c>
      <c r="G14" s="89" t="s">
        <v>54</v>
      </c>
      <c r="H14" s="86">
        <v>4746000</v>
      </c>
      <c r="I14" s="86">
        <f t="shared" si="0"/>
        <v>569520000</v>
      </c>
      <c r="J14" s="97">
        <f t="shared" ref="J14:J21" si="2">J13+1</f>
        <v>2</v>
      </c>
    </row>
    <row r="15" spans="2:10" ht="33.85" customHeight="1" x14ac:dyDescent="0.35">
      <c r="B15" s="93">
        <f t="shared" si="1"/>
        <v>3</v>
      </c>
      <c r="C15" s="87" t="s">
        <v>51</v>
      </c>
      <c r="D15" s="105" t="s">
        <v>56</v>
      </c>
      <c r="E15" s="85">
        <v>365</v>
      </c>
      <c r="F15" s="85" t="s">
        <v>35</v>
      </c>
      <c r="G15" s="89" t="s">
        <v>54</v>
      </c>
      <c r="H15" s="86">
        <v>5340000</v>
      </c>
      <c r="I15" s="86">
        <f t="shared" si="0"/>
        <v>1949100000</v>
      </c>
      <c r="J15" s="97">
        <f t="shared" si="2"/>
        <v>3</v>
      </c>
    </row>
    <row r="16" spans="2:10" ht="33.85" customHeight="1" x14ac:dyDescent="0.35">
      <c r="B16" s="93">
        <f t="shared" si="1"/>
        <v>4</v>
      </c>
      <c r="C16" s="87" t="s">
        <v>51</v>
      </c>
      <c r="D16" s="105" t="s">
        <v>57</v>
      </c>
      <c r="E16" s="85">
        <v>365</v>
      </c>
      <c r="F16" s="85" t="s">
        <v>35</v>
      </c>
      <c r="G16" s="89" t="s">
        <v>54</v>
      </c>
      <c r="H16" s="86">
        <v>4231000</v>
      </c>
      <c r="I16" s="86">
        <f t="shared" si="0"/>
        <v>1544315000</v>
      </c>
      <c r="J16" s="97">
        <f t="shared" si="2"/>
        <v>4</v>
      </c>
    </row>
    <row r="17" spans="2:10" ht="33.85" customHeight="1" x14ac:dyDescent="0.35">
      <c r="B17" s="93">
        <f t="shared" si="1"/>
        <v>5</v>
      </c>
      <c r="C17" s="87" t="s">
        <v>51</v>
      </c>
      <c r="D17" s="105" t="s">
        <v>58</v>
      </c>
      <c r="E17" s="85">
        <v>60</v>
      </c>
      <c r="F17" s="85" t="s">
        <v>35</v>
      </c>
      <c r="G17" s="89" t="s">
        <v>54</v>
      </c>
      <c r="H17" s="86">
        <v>2215000</v>
      </c>
      <c r="I17" s="86">
        <f t="shared" si="0"/>
        <v>132900000</v>
      </c>
      <c r="J17" s="97">
        <f t="shared" si="2"/>
        <v>5</v>
      </c>
    </row>
    <row r="18" spans="2:10" ht="33.85" customHeight="1" x14ac:dyDescent="0.35">
      <c r="B18" s="93">
        <f t="shared" si="1"/>
        <v>6</v>
      </c>
      <c r="C18" s="87" t="s">
        <v>51</v>
      </c>
      <c r="D18" s="105" t="s">
        <v>59</v>
      </c>
      <c r="E18" s="85">
        <v>10</v>
      </c>
      <c r="F18" s="85" t="s">
        <v>35</v>
      </c>
      <c r="G18" s="89" t="s">
        <v>45</v>
      </c>
      <c r="H18" s="86">
        <v>210000000</v>
      </c>
      <c r="I18" s="86">
        <f t="shared" si="0"/>
        <v>2100000000</v>
      </c>
      <c r="J18" s="97">
        <f t="shared" si="2"/>
        <v>6</v>
      </c>
    </row>
    <row r="19" spans="2:10" ht="33.85" customHeight="1" x14ac:dyDescent="0.35">
      <c r="B19" s="93">
        <f t="shared" si="1"/>
        <v>7</v>
      </c>
      <c r="C19" s="87" t="s">
        <v>51</v>
      </c>
      <c r="D19" s="105" t="s">
        <v>60</v>
      </c>
      <c r="E19" s="85">
        <v>10</v>
      </c>
      <c r="F19" s="85" t="s">
        <v>35</v>
      </c>
      <c r="G19" s="89" t="s">
        <v>45</v>
      </c>
      <c r="H19" s="86">
        <v>350000000</v>
      </c>
      <c r="I19" s="86">
        <f t="shared" si="0"/>
        <v>3500000000</v>
      </c>
      <c r="J19" s="97">
        <f t="shared" si="2"/>
        <v>7</v>
      </c>
    </row>
    <row r="20" spans="2:10" ht="33.85" customHeight="1" x14ac:dyDescent="0.35">
      <c r="B20" s="93">
        <f t="shared" si="1"/>
        <v>8</v>
      </c>
      <c r="C20" s="87" t="s">
        <v>51</v>
      </c>
      <c r="D20" s="105" t="s">
        <v>61</v>
      </c>
      <c r="E20" s="85">
        <v>5</v>
      </c>
      <c r="F20" s="85" t="s">
        <v>35</v>
      </c>
      <c r="G20" s="89" t="s">
        <v>45</v>
      </c>
      <c r="H20" s="86">
        <v>80000000</v>
      </c>
      <c r="I20" s="86">
        <f t="shared" si="0"/>
        <v>400000000</v>
      </c>
      <c r="J20" s="97">
        <f t="shared" si="2"/>
        <v>8</v>
      </c>
    </row>
    <row r="21" spans="2:10" ht="33.85" customHeight="1" x14ac:dyDescent="0.35">
      <c r="B21" s="93">
        <f t="shared" si="1"/>
        <v>9</v>
      </c>
      <c r="C21" s="87" t="s">
        <v>51</v>
      </c>
      <c r="D21" s="105" t="s">
        <v>62</v>
      </c>
      <c r="E21" s="85">
        <v>5</v>
      </c>
      <c r="F21" s="85" t="s">
        <v>35</v>
      </c>
      <c r="G21" s="89" t="s">
        <v>45</v>
      </c>
      <c r="H21" s="86">
        <v>75000000</v>
      </c>
      <c r="I21" s="86">
        <f t="shared" si="0"/>
        <v>375000000</v>
      </c>
      <c r="J21" s="97">
        <f t="shared" si="2"/>
        <v>9</v>
      </c>
    </row>
    <row r="22" spans="2:10" ht="33.85" customHeight="1" x14ac:dyDescent="0.35">
      <c r="B22" s="92" t="s">
        <v>63</v>
      </c>
      <c r="C22" s="87" t="s">
        <v>64</v>
      </c>
      <c r="D22" s="87" t="s">
        <v>65</v>
      </c>
      <c r="E22" s="82" t="s">
        <v>43</v>
      </c>
      <c r="F22" s="82" t="s">
        <v>43</v>
      </c>
      <c r="G22" s="83" t="s">
        <v>43</v>
      </c>
      <c r="H22" s="82" t="s">
        <v>43</v>
      </c>
      <c r="I22" s="88"/>
      <c r="J22" s="96" t="s">
        <v>63</v>
      </c>
    </row>
    <row r="23" spans="2:10" ht="33.85" customHeight="1" x14ac:dyDescent="0.35">
      <c r="B23" s="93">
        <v>1</v>
      </c>
      <c r="C23" s="87" t="s">
        <v>64</v>
      </c>
      <c r="D23" s="105" t="s">
        <v>66</v>
      </c>
      <c r="E23" s="85">
        <v>1</v>
      </c>
      <c r="F23" s="85" t="s">
        <v>67</v>
      </c>
      <c r="G23" s="89" t="s">
        <v>68</v>
      </c>
      <c r="H23" s="86">
        <v>400000000</v>
      </c>
      <c r="I23" s="86">
        <f t="shared" ref="I23:I28" si="3">E23*H23</f>
        <v>400000000</v>
      </c>
      <c r="J23" s="97">
        <v>1</v>
      </c>
    </row>
    <row r="24" spans="2:10" ht="33.85" customHeight="1" x14ac:dyDescent="0.35">
      <c r="B24" s="93">
        <v>2</v>
      </c>
      <c r="C24" s="87" t="s">
        <v>64</v>
      </c>
      <c r="D24" s="105" t="s">
        <v>69</v>
      </c>
      <c r="E24" s="85">
        <v>1</v>
      </c>
      <c r="F24" s="85" t="s">
        <v>67</v>
      </c>
      <c r="G24" s="89" t="s">
        <v>68</v>
      </c>
      <c r="H24" s="86">
        <v>0</v>
      </c>
      <c r="I24" s="86">
        <f t="shared" si="3"/>
        <v>0</v>
      </c>
      <c r="J24" s="97">
        <v>2</v>
      </c>
    </row>
    <row r="25" spans="2:10" ht="33.85" customHeight="1" x14ac:dyDescent="0.35">
      <c r="B25" s="93">
        <v>3</v>
      </c>
      <c r="C25" s="87" t="s">
        <v>64</v>
      </c>
      <c r="D25" s="105" t="s">
        <v>70</v>
      </c>
      <c r="E25" s="85">
        <v>12</v>
      </c>
      <c r="F25" s="85" t="s">
        <v>67</v>
      </c>
      <c r="G25" s="89" t="s">
        <v>68</v>
      </c>
      <c r="H25" s="86">
        <v>300000000</v>
      </c>
      <c r="I25" s="86">
        <f t="shared" si="3"/>
        <v>3600000000</v>
      </c>
      <c r="J25" s="97">
        <v>3</v>
      </c>
    </row>
    <row r="26" spans="2:10" ht="33.85" customHeight="1" x14ac:dyDescent="0.35">
      <c r="B26" s="93">
        <v>4</v>
      </c>
      <c r="C26" s="87" t="s">
        <v>64</v>
      </c>
      <c r="D26" s="105" t="s">
        <v>71</v>
      </c>
      <c r="E26" s="85">
        <v>40</v>
      </c>
      <c r="F26" s="85" t="s">
        <v>67</v>
      </c>
      <c r="G26" s="89" t="s">
        <v>68</v>
      </c>
      <c r="H26" s="86">
        <v>7500000</v>
      </c>
      <c r="I26" s="86">
        <f t="shared" si="3"/>
        <v>300000000</v>
      </c>
      <c r="J26" s="97">
        <v>4</v>
      </c>
    </row>
    <row r="27" spans="2:10" ht="33.85" customHeight="1" x14ac:dyDescent="0.35">
      <c r="B27" s="93">
        <v>5</v>
      </c>
      <c r="C27" s="87" t="s">
        <v>64</v>
      </c>
      <c r="D27" s="105" t="s">
        <v>72</v>
      </c>
      <c r="E27" s="85">
        <v>40</v>
      </c>
      <c r="F27" s="85" t="s">
        <v>67</v>
      </c>
      <c r="G27" s="89" t="s">
        <v>68</v>
      </c>
      <c r="H27" s="86">
        <v>7500000</v>
      </c>
      <c r="I27" s="86">
        <f t="shared" si="3"/>
        <v>300000000</v>
      </c>
      <c r="J27" s="97">
        <v>5</v>
      </c>
    </row>
    <row r="28" spans="2:10" ht="33.85" customHeight="1" x14ac:dyDescent="0.35">
      <c r="B28" s="93">
        <v>6</v>
      </c>
      <c r="C28" s="87" t="s">
        <v>64</v>
      </c>
      <c r="D28" s="105" t="s">
        <v>73</v>
      </c>
      <c r="E28" s="85">
        <v>22</v>
      </c>
      <c r="F28" s="85" t="s">
        <v>67</v>
      </c>
      <c r="G28" s="89" t="s">
        <v>68</v>
      </c>
      <c r="H28" s="86">
        <v>8500000</v>
      </c>
      <c r="I28" s="86">
        <f t="shared" si="3"/>
        <v>187000000</v>
      </c>
      <c r="J28" s="97">
        <v>6</v>
      </c>
    </row>
    <row r="29" spans="2:10" ht="33.85" customHeight="1" x14ac:dyDescent="0.35">
      <c r="B29" s="92" t="s">
        <v>74</v>
      </c>
      <c r="C29" s="87" t="s">
        <v>75</v>
      </c>
      <c r="D29" s="87" t="s">
        <v>76</v>
      </c>
      <c r="E29" s="82" t="s">
        <v>43</v>
      </c>
      <c r="F29" s="82" t="s">
        <v>43</v>
      </c>
      <c r="G29" s="83" t="s">
        <v>43</v>
      </c>
      <c r="H29" s="82" t="s">
        <v>43</v>
      </c>
      <c r="I29" s="88"/>
      <c r="J29" s="96" t="s">
        <v>74</v>
      </c>
    </row>
    <row r="30" spans="2:10" ht="33.85" customHeight="1" x14ac:dyDescent="0.35">
      <c r="B30" s="98">
        <v>1</v>
      </c>
      <c r="C30" s="87" t="s">
        <v>75</v>
      </c>
      <c r="D30" s="99" t="s">
        <v>77</v>
      </c>
      <c r="E30" s="100">
        <v>1</v>
      </c>
      <c r="F30" s="101" t="s">
        <v>78</v>
      </c>
      <c r="G30" s="102" t="s">
        <v>78</v>
      </c>
      <c r="H30" s="103">
        <v>3846170660.5</v>
      </c>
      <c r="I30" s="103">
        <f>E30*H30</f>
        <v>3846170660.5</v>
      </c>
      <c r="J30" s="104">
        <v>1</v>
      </c>
    </row>
  </sheetData>
  <mergeCells count="2">
    <mergeCell ref="B3:J3"/>
    <mergeCell ref="B4:J4"/>
  </mergeCells>
  <conditionalFormatting sqref="B6:J30">
    <cfRule type="expression" dxfId="6" priority="1">
      <formula>ISODD(ROW())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</sheetPr>
  <dimension ref="B3:D40"/>
  <sheetViews>
    <sheetView workbookViewId="0">
      <pane xSplit="3" ySplit="5" topLeftCell="D15" activePane="bottomRight" state="frozen"/>
      <selection activeCell="D12" sqref="D12"/>
      <selection pane="topRight" activeCell="D12" sqref="D12"/>
      <selection pane="bottomLeft" activeCell="D12" sqref="D12"/>
      <selection pane="bottomRight" activeCell="D28" sqref="D28"/>
    </sheetView>
  </sheetViews>
  <sheetFormatPr defaultRowHeight="12.75" x14ac:dyDescent="0.35"/>
  <cols>
    <col min="1" max="1" width="1.73046875" style="61" customWidth="1"/>
    <col min="2" max="2" width="5.06640625" style="61" customWidth="1"/>
    <col min="3" max="3" width="30.73046875" style="61" customWidth="1"/>
    <col min="4" max="4" width="80.59765625" style="63" customWidth="1"/>
    <col min="5" max="5" width="1.73046875" style="61" customWidth="1"/>
    <col min="6" max="6" width="9.06640625" style="61" customWidth="1"/>
    <col min="7" max="16384" width="9.06640625" style="61"/>
  </cols>
  <sheetData>
    <row r="3" spans="2:4" ht="20.25" customHeight="1" x14ac:dyDescent="0.55000000000000004">
      <c r="B3" s="417" t="s">
        <v>79</v>
      </c>
      <c r="C3" s="382"/>
      <c r="D3" s="383"/>
    </row>
    <row r="4" spans="2:4" x14ac:dyDescent="0.35">
      <c r="B4" s="62"/>
    </row>
    <row r="5" spans="2:4" ht="13.15" customHeight="1" x14ac:dyDescent="0.4">
      <c r="B5" s="68" t="s">
        <v>80</v>
      </c>
      <c r="C5" s="69" t="s">
        <v>81</v>
      </c>
      <c r="D5" s="356" t="s">
        <v>82</v>
      </c>
    </row>
    <row r="6" spans="2:4" x14ac:dyDescent="0.35">
      <c r="B6" s="67">
        <v>1</v>
      </c>
      <c r="C6" s="64" t="s">
        <v>83</v>
      </c>
      <c r="D6" s="357" t="s">
        <v>84</v>
      </c>
    </row>
    <row r="7" spans="2:4" x14ac:dyDescent="0.35">
      <c r="B7" s="67">
        <f>B6+1</f>
        <v>2</v>
      </c>
      <c r="C7" s="65" t="s">
        <v>85</v>
      </c>
      <c r="D7" s="358" t="s">
        <v>86</v>
      </c>
    </row>
    <row r="8" spans="2:4" x14ac:dyDescent="0.35">
      <c r="B8" s="67">
        <f>B7+1</f>
        <v>3</v>
      </c>
      <c r="C8" s="64" t="s">
        <v>87</v>
      </c>
      <c r="D8" s="359" t="s">
        <v>88</v>
      </c>
    </row>
    <row r="9" spans="2:4" x14ac:dyDescent="0.35">
      <c r="B9" s="67">
        <f>B8+1</f>
        <v>4</v>
      </c>
      <c r="C9" s="65" t="s">
        <v>89</v>
      </c>
      <c r="D9" s="360" t="s">
        <v>90</v>
      </c>
    </row>
    <row r="10" spans="2:4" x14ac:dyDescent="0.35">
      <c r="B10" s="67">
        <f>B8+1</f>
        <v>4</v>
      </c>
      <c r="C10" s="64" t="s">
        <v>91</v>
      </c>
      <c r="D10" s="357" t="s">
        <v>92</v>
      </c>
    </row>
    <row r="11" spans="2:4" x14ac:dyDescent="0.35">
      <c r="B11" s="67">
        <f t="shared" ref="B11:B39" si="0">B10+1</f>
        <v>5</v>
      </c>
      <c r="C11" s="64" t="s">
        <v>93</v>
      </c>
      <c r="D11" s="361" t="s">
        <v>94</v>
      </c>
    </row>
    <row r="12" spans="2:4" x14ac:dyDescent="0.35">
      <c r="B12" s="67">
        <f t="shared" si="0"/>
        <v>6</v>
      </c>
      <c r="C12" s="64" t="s">
        <v>95</v>
      </c>
      <c r="D12" s="362">
        <v>46234</v>
      </c>
    </row>
    <row r="13" spans="2:4" x14ac:dyDescent="0.35">
      <c r="B13" s="67">
        <f t="shared" si="0"/>
        <v>7</v>
      </c>
      <c r="C13" s="64" t="s">
        <v>96</v>
      </c>
      <c r="D13" s="363">
        <v>4500011424</v>
      </c>
    </row>
    <row r="14" spans="2:4" x14ac:dyDescent="0.35">
      <c r="B14" s="67">
        <f t="shared" si="0"/>
        <v>8</v>
      </c>
      <c r="C14" s="64" t="s">
        <v>97</v>
      </c>
      <c r="D14" s="362">
        <v>46204</v>
      </c>
    </row>
    <row r="15" spans="2:4" ht="38.25" customHeight="1" x14ac:dyDescent="0.35">
      <c r="B15" s="67">
        <f t="shared" si="0"/>
        <v>9</v>
      </c>
      <c r="C15" s="64" t="s">
        <v>98</v>
      </c>
      <c r="D15" s="364" t="s">
        <v>99</v>
      </c>
    </row>
    <row r="16" spans="2:4" ht="24" customHeight="1" x14ac:dyDescent="0.35">
      <c r="B16" s="67">
        <f t="shared" si="0"/>
        <v>10</v>
      </c>
      <c r="C16" s="65" t="s">
        <v>100</v>
      </c>
      <c r="D16" s="365" t="s">
        <v>16</v>
      </c>
    </row>
    <row r="17" spans="2:4" x14ac:dyDescent="0.35">
      <c r="B17" s="67">
        <f t="shared" si="0"/>
        <v>11</v>
      </c>
      <c r="C17" s="65" t="s">
        <v>101</v>
      </c>
      <c r="D17" s="365" t="s">
        <v>102</v>
      </c>
    </row>
    <row r="18" spans="2:4" x14ac:dyDescent="0.35">
      <c r="B18" s="73">
        <f t="shared" si="0"/>
        <v>12</v>
      </c>
      <c r="C18" s="74" t="s">
        <v>103</v>
      </c>
      <c r="D18" s="366" t="s">
        <v>21</v>
      </c>
    </row>
    <row r="19" spans="2:4" x14ac:dyDescent="0.35">
      <c r="B19" s="67">
        <f t="shared" si="0"/>
        <v>13</v>
      </c>
      <c r="C19" s="65" t="s">
        <v>104</v>
      </c>
      <c r="D19" s="365" t="s">
        <v>24</v>
      </c>
    </row>
    <row r="20" spans="2:4" x14ac:dyDescent="0.35">
      <c r="B20" s="67">
        <f t="shared" si="0"/>
        <v>14</v>
      </c>
      <c r="C20" s="65" t="s">
        <v>105</v>
      </c>
      <c r="D20" s="365" t="s">
        <v>15</v>
      </c>
    </row>
    <row r="21" spans="2:4" x14ac:dyDescent="0.35">
      <c r="B21" s="67">
        <f t="shared" si="0"/>
        <v>15</v>
      </c>
      <c r="C21" s="65" t="s">
        <v>106</v>
      </c>
      <c r="D21" s="365" t="s">
        <v>107</v>
      </c>
    </row>
    <row r="22" spans="2:4" x14ac:dyDescent="0.35">
      <c r="B22" s="67">
        <f t="shared" si="0"/>
        <v>16</v>
      </c>
      <c r="C22" s="65" t="s">
        <v>103</v>
      </c>
      <c r="D22" s="365" t="s">
        <v>108</v>
      </c>
    </row>
    <row r="23" spans="2:4" x14ac:dyDescent="0.35">
      <c r="B23" s="67">
        <f t="shared" si="0"/>
        <v>17</v>
      </c>
      <c r="C23" s="65" t="s">
        <v>104</v>
      </c>
      <c r="D23" s="365" t="s">
        <v>109</v>
      </c>
    </row>
    <row r="24" spans="2:4" x14ac:dyDescent="0.35">
      <c r="B24" s="67">
        <f t="shared" si="0"/>
        <v>18</v>
      </c>
      <c r="C24" s="65" t="s">
        <v>110</v>
      </c>
      <c r="D24" s="363" t="s">
        <v>111</v>
      </c>
    </row>
    <row r="25" spans="2:4" ht="14.25" customHeight="1" x14ac:dyDescent="0.45">
      <c r="B25" s="67">
        <f t="shared" si="0"/>
        <v>19</v>
      </c>
      <c r="C25" s="65" t="s">
        <v>112</v>
      </c>
      <c r="D25" s="367" t="s">
        <v>113</v>
      </c>
    </row>
    <row r="26" spans="2:4" x14ac:dyDescent="0.35">
      <c r="B26" s="67">
        <f t="shared" si="0"/>
        <v>20</v>
      </c>
      <c r="C26" s="65" t="s">
        <v>114</v>
      </c>
      <c r="D26" s="362">
        <v>46234</v>
      </c>
    </row>
    <row r="27" spans="2:4" ht="20.25" customHeight="1" x14ac:dyDescent="0.45">
      <c r="B27" s="67">
        <f t="shared" si="0"/>
        <v>21</v>
      </c>
      <c r="C27" s="65" t="s">
        <v>115</v>
      </c>
      <c r="D27" s="368" t="s">
        <v>116</v>
      </c>
    </row>
    <row r="28" spans="2:4" ht="39" customHeight="1" x14ac:dyDescent="0.35">
      <c r="B28" s="67">
        <f t="shared" si="0"/>
        <v>22</v>
      </c>
      <c r="C28" s="65" t="s">
        <v>117</v>
      </c>
      <c r="D28" s="361" t="s">
        <v>417</v>
      </c>
    </row>
    <row r="29" spans="2:4" ht="15" customHeight="1" x14ac:dyDescent="0.45">
      <c r="B29" s="67">
        <f t="shared" si="0"/>
        <v>23</v>
      </c>
      <c r="C29" s="65" t="s">
        <v>118</v>
      </c>
      <c r="D29" s="368" t="s">
        <v>119</v>
      </c>
    </row>
    <row r="30" spans="2:4" ht="18.399999999999999" customHeight="1" x14ac:dyDescent="0.35">
      <c r="B30" s="67">
        <f t="shared" si="0"/>
        <v>24</v>
      </c>
      <c r="C30" s="65" t="s">
        <v>120</v>
      </c>
      <c r="D30" s="359" t="s">
        <v>20</v>
      </c>
    </row>
    <row r="31" spans="2:4" x14ac:dyDescent="0.35">
      <c r="B31" s="67">
        <f t="shared" si="0"/>
        <v>25</v>
      </c>
      <c r="C31" s="65" t="s">
        <v>121</v>
      </c>
      <c r="D31" s="359" t="s">
        <v>23</v>
      </c>
    </row>
    <row r="32" spans="2:4" x14ac:dyDescent="0.35">
      <c r="B32" s="67">
        <f t="shared" si="0"/>
        <v>26</v>
      </c>
      <c r="C32" s="65"/>
      <c r="D32" s="369"/>
    </row>
    <row r="33" spans="2:4" x14ac:dyDescent="0.35">
      <c r="B33" s="67">
        <f t="shared" si="0"/>
        <v>27</v>
      </c>
      <c r="C33" s="65"/>
      <c r="D33" s="369"/>
    </row>
    <row r="34" spans="2:4" x14ac:dyDescent="0.35">
      <c r="B34" s="67">
        <f t="shared" si="0"/>
        <v>28</v>
      </c>
      <c r="C34" s="65"/>
      <c r="D34" s="369"/>
    </row>
    <row r="35" spans="2:4" x14ac:dyDescent="0.35">
      <c r="B35" s="67">
        <f t="shared" si="0"/>
        <v>29</v>
      </c>
      <c r="C35" s="65"/>
      <c r="D35" s="369"/>
    </row>
    <row r="36" spans="2:4" x14ac:dyDescent="0.35">
      <c r="B36" s="67">
        <f t="shared" si="0"/>
        <v>30</v>
      </c>
      <c r="C36" s="65"/>
      <c r="D36" s="369"/>
    </row>
    <row r="37" spans="2:4" x14ac:dyDescent="0.35">
      <c r="B37" s="67">
        <f t="shared" si="0"/>
        <v>31</v>
      </c>
      <c r="C37" s="65"/>
      <c r="D37" s="369"/>
    </row>
    <row r="38" spans="2:4" x14ac:dyDescent="0.35">
      <c r="B38" s="67">
        <f t="shared" si="0"/>
        <v>32</v>
      </c>
      <c r="C38" s="65"/>
      <c r="D38" s="369"/>
    </row>
    <row r="39" spans="2:4" x14ac:dyDescent="0.35">
      <c r="B39" s="70">
        <f t="shared" si="0"/>
        <v>33</v>
      </c>
      <c r="C39" s="71"/>
      <c r="D39" s="72"/>
    </row>
    <row r="40" spans="2:4" x14ac:dyDescent="0.35">
      <c r="B40" s="66"/>
    </row>
  </sheetData>
  <mergeCells count="1">
    <mergeCell ref="B3:D3"/>
  </mergeCells>
  <dataValidations count="1">
    <dataValidation type="list" allowBlank="1" showInputMessage="1" showErrorMessage="1" sqref="D18" xr:uid="{00000000-0002-0000-0100-000000000000}">
      <formula1>"Rafik Hidayat / Ronny Dwi Purnomo, Ronny Dwi Purnomo / Rafik Hidayat"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N56"/>
  <sheetViews>
    <sheetView showGridLines="0" topLeftCell="A9" workbookViewId="0">
      <selection activeCell="E19" sqref="E19"/>
    </sheetView>
  </sheetViews>
  <sheetFormatPr defaultRowHeight="14.25" x14ac:dyDescent="0.45"/>
  <cols>
    <col min="1" max="1" width="1" customWidth="1"/>
    <col min="2" max="2" width="2.06640625" customWidth="1"/>
    <col min="3" max="3" width="24.6640625" customWidth="1"/>
    <col min="4" max="4" width="4.33203125" customWidth="1"/>
    <col min="5" max="5" width="20" customWidth="1"/>
    <col min="6" max="6" width="37" customWidth="1"/>
    <col min="7" max="7" width="31.19921875" customWidth="1"/>
    <col min="8" max="8" width="1.6640625" customWidth="1"/>
    <col min="9" max="9" width="0.19921875" customWidth="1"/>
    <col min="10" max="10" width="0.6640625" customWidth="1"/>
    <col min="12" max="12" width="12.265625" customWidth="1"/>
    <col min="13" max="13" width="11.6640625" customWidth="1"/>
  </cols>
  <sheetData>
    <row r="1" spans="1:14" ht="5.65" customHeight="1" thickTop="1" thickBot="1" x14ac:dyDescent="0.5">
      <c r="A1" s="322"/>
      <c r="B1" s="323"/>
      <c r="C1" s="323"/>
      <c r="D1" s="323"/>
      <c r="E1" s="323"/>
      <c r="F1" s="323"/>
      <c r="G1" s="323"/>
      <c r="H1" s="323"/>
      <c r="I1" s="323"/>
      <c r="J1" s="324"/>
    </row>
    <row r="2" spans="1:14" x14ac:dyDescent="0.45">
      <c r="A2" s="325"/>
      <c r="B2" s="326"/>
      <c r="C2" s="327"/>
      <c r="D2" s="327"/>
      <c r="E2" s="327"/>
      <c r="F2" s="327"/>
      <c r="G2" s="327"/>
      <c r="H2" s="328"/>
      <c r="J2" s="329"/>
    </row>
    <row r="3" spans="1:14" x14ac:dyDescent="0.45">
      <c r="A3" s="325"/>
      <c r="B3" s="330"/>
      <c r="H3" s="331"/>
      <c r="J3" s="329"/>
    </row>
    <row r="4" spans="1:14" x14ac:dyDescent="0.45">
      <c r="A4" s="325"/>
      <c r="B4" s="330"/>
      <c r="E4" s="418" t="s">
        <v>0</v>
      </c>
      <c r="F4" s="419"/>
      <c r="H4" s="331"/>
      <c r="J4" s="329"/>
    </row>
    <row r="5" spans="1:14" x14ac:dyDescent="0.45">
      <c r="A5" s="325"/>
      <c r="B5" s="330"/>
      <c r="C5" s="343"/>
      <c r="E5" s="418" t="s">
        <v>1</v>
      </c>
      <c r="F5" s="419"/>
      <c r="H5" s="331"/>
      <c r="J5" s="329"/>
    </row>
    <row r="6" spans="1:14" ht="15.4" customHeight="1" x14ac:dyDescent="0.55000000000000004">
      <c r="A6" s="325"/>
      <c r="B6" s="330"/>
      <c r="C6" s="80"/>
      <c r="H6" s="331"/>
      <c r="J6" s="329"/>
    </row>
    <row r="7" spans="1:14" x14ac:dyDescent="0.45">
      <c r="A7" s="325"/>
      <c r="B7" s="330"/>
      <c r="C7" s="343" t="s">
        <v>2</v>
      </c>
      <c r="H7" s="331"/>
      <c r="J7" s="329"/>
    </row>
    <row r="8" spans="1:14" x14ac:dyDescent="0.45">
      <c r="A8" s="325"/>
      <c r="B8" s="330"/>
      <c r="H8" s="331"/>
      <c r="J8" s="329"/>
    </row>
    <row r="9" spans="1:14" ht="24.75" customHeight="1" x14ac:dyDescent="0.45">
      <c r="A9" s="325"/>
      <c r="B9" s="330"/>
      <c r="C9" s="429" t="s">
        <v>3</v>
      </c>
      <c r="D9" s="421"/>
      <c r="E9" s="421"/>
      <c r="F9" s="421"/>
      <c r="G9" s="422"/>
      <c r="H9" s="331"/>
      <c r="J9" s="329"/>
    </row>
    <row r="10" spans="1:14" ht="20.25" customHeight="1" x14ac:dyDescent="0.45">
      <c r="A10" s="325"/>
      <c r="B10" s="330"/>
      <c r="C10" s="430" t="str">
        <f>"CERTIFICATE NO : "&amp;Input!D25</f>
        <v>CERTIFICATE NO : 7207250142-BSS-WCC-2026-019</v>
      </c>
      <c r="D10" s="421"/>
      <c r="E10" s="421"/>
      <c r="F10" s="421"/>
      <c r="G10" s="422"/>
      <c r="H10" s="331"/>
      <c r="J10" s="329"/>
    </row>
    <row r="11" spans="1:14" x14ac:dyDescent="0.45">
      <c r="A11" s="325"/>
      <c r="B11" s="330"/>
      <c r="H11" s="331"/>
      <c r="J11" s="329"/>
    </row>
    <row r="12" spans="1:14" ht="28.5" customHeight="1" x14ac:dyDescent="0.45">
      <c r="A12" s="325"/>
      <c r="B12" s="330"/>
      <c r="C12" s="426" t="str">
        <f>CONCATENATE(L12," ",M13, " ",M14, " ",M15, " ",N12)</f>
        <v>On the date of  31 July 2026 we on behalf of PT Banggai Sentral Sulawesi have completed the following job:</v>
      </c>
      <c r="D12" s="419"/>
      <c r="E12" s="419"/>
      <c r="F12" s="419"/>
      <c r="G12" s="419"/>
      <c r="H12" s="331"/>
      <c r="J12" s="329"/>
      <c r="L12" t="s">
        <v>4</v>
      </c>
      <c r="M12" s="344">
        <f>Input!D26</f>
        <v>46234</v>
      </c>
      <c r="N12" t="s">
        <v>5</v>
      </c>
    </row>
    <row r="13" spans="1:14" x14ac:dyDescent="0.45">
      <c r="A13" s="325"/>
      <c r="B13" s="330"/>
      <c r="H13" s="331"/>
      <c r="J13" s="329"/>
      <c r="M13" s="4">
        <f>DAY(M12)</f>
        <v>31</v>
      </c>
    </row>
    <row r="14" spans="1:14" ht="39.4" customHeight="1" x14ac:dyDescent="0.45">
      <c r="A14" s="325"/>
      <c r="B14" s="330"/>
      <c r="C14" s="351" t="s">
        <v>6</v>
      </c>
      <c r="D14" s="333" t="s">
        <v>7</v>
      </c>
      <c r="E14" s="420" t="str">
        <f>Input!D27</f>
        <v>7207250142-BSS-WO-2026-019</v>
      </c>
      <c r="F14" s="421"/>
      <c r="G14" s="422"/>
      <c r="H14" s="331"/>
      <c r="J14" s="329"/>
      <c r="M14" t="str">
        <f>TEXT(M12,"MMMM")</f>
        <v>July</v>
      </c>
    </row>
    <row r="15" spans="1:14" ht="39.4" customHeight="1" x14ac:dyDescent="0.45">
      <c r="A15" s="325"/>
      <c r="B15" s="330"/>
      <c r="C15" s="352" t="s">
        <v>8</v>
      </c>
      <c r="D15" s="333" t="s">
        <v>7</v>
      </c>
      <c r="E15" s="420" t="str">
        <f>Input!D28</f>
        <v>Jasa Sewa Backhoe Loader untuk Support Kegiatan Operation dan Maintenance di Area Senoro dan Tiaka Periode Juli - September 2026 (01 - 31 Juli 2026)</v>
      </c>
      <c r="F15" s="421"/>
      <c r="G15" s="422"/>
      <c r="H15" s="331"/>
      <c r="J15" s="329"/>
      <c r="M15">
        <f>YEAR(M12)</f>
        <v>2026</v>
      </c>
    </row>
    <row r="16" spans="1:14" ht="39.4" customHeight="1" x14ac:dyDescent="0.45">
      <c r="A16" s="325"/>
      <c r="B16" s="330"/>
      <c r="C16" s="332" t="s">
        <v>9</v>
      </c>
      <c r="D16" s="333" t="s">
        <v>7</v>
      </c>
      <c r="E16" s="420" t="str">
        <f>Input!D29</f>
        <v>7207250142-BSS-CTR-2026-019</v>
      </c>
      <c r="F16" s="421"/>
      <c r="G16" s="422"/>
      <c r="H16" s="331"/>
      <c r="J16" s="329"/>
    </row>
    <row r="17" spans="1:10" ht="39.4" customHeight="1" x14ac:dyDescent="0.45">
      <c r="A17" s="325"/>
      <c r="B17" s="330"/>
      <c r="C17" s="332" t="s">
        <v>10</v>
      </c>
      <c r="D17" s="333" t="s">
        <v>7</v>
      </c>
      <c r="E17" s="420" t="s">
        <v>11</v>
      </c>
      <c r="F17" s="422"/>
      <c r="G17" s="345">
        <f>'Performa Invoice'!$K$19</f>
        <v>75538000</v>
      </c>
      <c r="H17" s="331"/>
      <c r="J17" s="329"/>
    </row>
    <row r="18" spans="1:10" ht="39.4" customHeight="1" x14ac:dyDescent="0.45">
      <c r="A18" s="325"/>
      <c r="B18" s="330"/>
      <c r="C18" s="332" t="s">
        <v>12</v>
      </c>
      <c r="D18" s="333" t="s">
        <v>7</v>
      </c>
      <c r="E18" s="420" t="str">
        <f>PROPER([1]!terbilang(G17) &amp; " Rupiah ")</f>
        <v xml:space="preserve"> Tujuh Puluh Lima Juta Lima Ratus Tiga Puluh Delapan Ribu Rupiah </v>
      </c>
      <c r="F18" s="421"/>
      <c r="G18" s="422"/>
      <c r="H18" s="331"/>
      <c r="J18" s="329"/>
    </row>
    <row r="19" spans="1:10" x14ac:dyDescent="0.45">
      <c r="A19" s="325"/>
      <c r="B19" s="330"/>
      <c r="H19" s="331"/>
      <c r="J19" s="329"/>
    </row>
    <row r="20" spans="1:10" ht="30" customHeight="1" x14ac:dyDescent="0.45">
      <c r="A20" s="325"/>
      <c r="B20" s="330"/>
      <c r="C20" s="425" t="s">
        <v>13</v>
      </c>
      <c r="D20" s="419"/>
      <c r="E20" s="419"/>
      <c r="F20" s="419"/>
      <c r="G20" s="419"/>
      <c r="H20" s="331"/>
      <c r="J20" s="329"/>
    </row>
    <row r="21" spans="1:10" ht="30" customHeight="1" x14ac:dyDescent="0.45">
      <c r="A21" s="325"/>
      <c r="B21" s="330"/>
      <c r="C21" s="334"/>
      <c r="D21" s="4"/>
      <c r="E21" s="4"/>
      <c r="F21" s="4"/>
      <c r="G21" s="4"/>
      <c r="H21" s="331"/>
      <c r="J21" s="329"/>
    </row>
    <row r="22" spans="1:10" ht="30" customHeight="1" x14ac:dyDescent="0.45">
      <c r="A22" s="325"/>
      <c r="B22" s="330"/>
      <c r="C22" s="334"/>
      <c r="D22" s="4"/>
      <c r="E22" s="4"/>
      <c r="F22" s="4"/>
      <c r="G22" s="4"/>
      <c r="H22" s="331"/>
      <c r="J22" s="329"/>
    </row>
    <row r="23" spans="1:10" x14ac:dyDescent="0.45">
      <c r="A23" s="325"/>
      <c r="B23" s="330"/>
      <c r="H23" s="331"/>
      <c r="J23" s="329"/>
    </row>
    <row r="24" spans="1:10" x14ac:dyDescent="0.45">
      <c r="A24" s="325"/>
      <c r="B24" s="330"/>
      <c r="F24" s="427"/>
      <c r="G24" s="419"/>
      <c r="H24" s="331"/>
      <c r="J24" s="329"/>
    </row>
    <row r="25" spans="1:10" x14ac:dyDescent="0.45">
      <c r="A25" s="325"/>
      <c r="B25" s="330"/>
      <c r="C25" s="350" t="s">
        <v>14</v>
      </c>
      <c r="D25" s="424">
        <f>Input!D26</f>
        <v>46234</v>
      </c>
      <c r="E25" s="419"/>
      <c r="H25" s="331"/>
      <c r="J25" s="329"/>
    </row>
    <row r="26" spans="1:10" x14ac:dyDescent="0.45">
      <c r="A26" s="325"/>
      <c r="B26" s="330"/>
      <c r="C26" s="423" t="s">
        <v>15</v>
      </c>
      <c r="D26" s="419"/>
      <c r="E26" s="419"/>
      <c r="F26" s="423" t="s">
        <v>16</v>
      </c>
      <c r="G26" s="419"/>
      <c r="H26" s="331"/>
      <c r="J26" s="329"/>
    </row>
    <row r="27" spans="1:10" x14ac:dyDescent="0.45">
      <c r="A27" s="325"/>
      <c r="B27" s="330"/>
      <c r="C27" s="427" t="s">
        <v>17</v>
      </c>
      <c r="D27" s="419"/>
      <c r="E27" s="419"/>
      <c r="F27" s="335" t="s">
        <v>18</v>
      </c>
      <c r="G27" s="335" t="s">
        <v>19</v>
      </c>
      <c r="H27" s="331"/>
      <c r="J27" s="329"/>
    </row>
    <row r="28" spans="1:10" ht="60" customHeight="1" x14ac:dyDescent="0.45">
      <c r="A28" s="325"/>
      <c r="B28" s="330"/>
      <c r="H28" s="331"/>
      <c r="J28" s="329"/>
    </row>
    <row r="29" spans="1:10" x14ac:dyDescent="0.45">
      <c r="A29" s="325"/>
      <c r="B29" s="330"/>
      <c r="C29" s="428" t="s">
        <v>20</v>
      </c>
      <c r="D29" s="419"/>
      <c r="E29" s="419"/>
      <c r="F29" s="336" t="s">
        <v>21</v>
      </c>
      <c r="G29" s="336" t="s">
        <v>22</v>
      </c>
      <c r="H29" s="331"/>
      <c r="J29" s="329"/>
    </row>
    <row r="30" spans="1:10" x14ac:dyDescent="0.45">
      <c r="A30" s="325"/>
      <c r="B30" s="330"/>
      <c r="C30" s="427" t="s">
        <v>23</v>
      </c>
      <c r="D30" s="419"/>
      <c r="E30" s="419"/>
      <c r="F30" s="335" t="s">
        <v>24</v>
      </c>
      <c r="G30" s="335" t="s">
        <v>25</v>
      </c>
      <c r="H30" s="331"/>
      <c r="J30" s="329"/>
    </row>
    <row r="31" spans="1:10" x14ac:dyDescent="0.45">
      <c r="A31" s="325"/>
      <c r="B31" s="330"/>
      <c r="C31" s="335"/>
      <c r="F31" s="335"/>
      <c r="G31" s="335"/>
      <c r="H31" s="331"/>
      <c r="J31" s="329"/>
    </row>
    <row r="32" spans="1:10" x14ac:dyDescent="0.45">
      <c r="A32" s="325"/>
      <c r="B32" s="330"/>
      <c r="C32" s="335"/>
      <c r="F32" s="335"/>
      <c r="G32" s="335"/>
      <c r="H32" s="331"/>
      <c r="J32" s="329"/>
    </row>
    <row r="33" spans="1:10" x14ac:dyDescent="0.45">
      <c r="A33" s="325"/>
      <c r="B33" s="330"/>
      <c r="C33" s="335"/>
      <c r="F33" s="335"/>
      <c r="G33" s="335"/>
      <c r="H33" s="331"/>
      <c r="J33" s="329"/>
    </row>
    <row r="34" spans="1:10" x14ac:dyDescent="0.45">
      <c r="A34" s="325"/>
      <c r="B34" s="330"/>
      <c r="C34" s="335"/>
      <c r="F34" s="335"/>
      <c r="G34" s="335"/>
      <c r="H34" s="331"/>
      <c r="J34" s="329"/>
    </row>
    <row r="35" spans="1:10" x14ac:dyDescent="0.45">
      <c r="A35" s="325"/>
      <c r="B35" s="330"/>
      <c r="C35" s="335"/>
      <c r="F35" s="335"/>
      <c r="G35" s="335"/>
      <c r="H35" s="331"/>
      <c r="J35" s="329"/>
    </row>
    <row r="36" spans="1:10" x14ac:dyDescent="0.45">
      <c r="A36" s="325"/>
      <c r="B36" s="330"/>
      <c r="C36" s="335"/>
      <c r="F36" s="335"/>
      <c r="G36" s="335"/>
      <c r="H36" s="331"/>
      <c r="J36" s="329"/>
    </row>
    <row r="37" spans="1:10" x14ac:dyDescent="0.45">
      <c r="A37" s="325"/>
      <c r="B37" s="330"/>
      <c r="C37" s="335"/>
      <c r="F37" s="335"/>
      <c r="G37" s="335"/>
      <c r="H37" s="331"/>
      <c r="J37" s="329"/>
    </row>
    <row r="38" spans="1:10" x14ac:dyDescent="0.45">
      <c r="A38" s="325"/>
      <c r="B38" s="330"/>
      <c r="C38" s="335"/>
      <c r="F38" s="335"/>
      <c r="G38" s="335"/>
      <c r="H38" s="331"/>
      <c r="J38" s="329"/>
    </row>
    <row r="39" spans="1:10" x14ac:dyDescent="0.45">
      <c r="A39" s="325"/>
      <c r="B39" s="330"/>
      <c r="C39" s="335"/>
      <c r="F39" s="335"/>
      <c r="G39" s="335"/>
      <c r="H39" s="331"/>
      <c r="J39" s="329"/>
    </row>
    <row r="40" spans="1:10" x14ac:dyDescent="0.45">
      <c r="A40" s="325"/>
      <c r="B40" s="330"/>
      <c r="C40" s="335"/>
      <c r="F40" s="335"/>
      <c r="G40" s="335"/>
      <c r="H40" s="331"/>
      <c r="J40" s="329"/>
    </row>
    <row r="41" spans="1:10" x14ac:dyDescent="0.45">
      <c r="A41" s="325"/>
      <c r="B41" s="330"/>
      <c r="C41" s="335"/>
      <c r="F41" s="335"/>
      <c r="G41" s="335"/>
      <c r="H41" s="331"/>
      <c r="J41" s="329"/>
    </row>
    <row r="42" spans="1:10" x14ac:dyDescent="0.45">
      <c r="A42" s="325"/>
      <c r="B42" s="330"/>
      <c r="C42" s="335"/>
      <c r="F42" s="335"/>
      <c r="G42" s="335"/>
      <c r="H42" s="331"/>
      <c r="J42" s="329"/>
    </row>
    <row r="43" spans="1:10" x14ac:dyDescent="0.45">
      <c r="A43" s="325"/>
      <c r="B43" s="330"/>
      <c r="C43" s="335"/>
      <c r="F43" s="335"/>
      <c r="G43" s="335"/>
      <c r="H43" s="331"/>
      <c r="J43" s="329"/>
    </row>
    <row r="44" spans="1:10" x14ac:dyDescent="0.45">
      <c r="A44" s="325"/>
      <c r="B44" s="330"/>
      <c r="C44" s="335"/>
      <c r="F44" s="335"/>
      <c r="G44" s="335"/>
      <c r="H44" s="331"/>
      <c r="J44" s="329"/>
    </row>
    <row r="45" spans="1:10" x14ac:dyDescent="0.45">
      <c r="A45" s="325"/>
      <c r="B45" s="330"/>
      <c r="C45" s="335"/>
      <c r="F45" s="335"/>
      <c r="G45" s="335"/>
      <c r="H45" s="331"/>
      <c r="J45" s="329"/>
    </row>
    <row r="46" spans="1:10" x14ac:dyDescent="0.45">
      <c r="A46" s="325"/>
      <c r="B46" s="330"/>
      <c r="C46" s="335"/>
      <c r="F46" s="335"/>
      <c r="G46" s="335"/>
      <c r="H46" s="331"/>
      <c r="J46" s="329"/>
    </row>
    <row r="47" spans="1:10" x14ac:dyDescent="0.45">
      <c r="A47" s="325"/>
      <c r="B47" s="330"/>
      <c r="C47" s="335"/>
      <c r="F47" s="335"/>
      <c r="G47" s="335"/>
      <c r="H47" s="331"/>
      <c r="J47" s="329"/>
    </row>
    <row r="48" spans="1:10" x14ac:dyDescent="0.45">
      <c r="A48" s="325"/>
      <c r="B48" s="330"/>
      <c r="C48" s="335"/>
      <c r="F48" s="335"/>
      <c r="G48" s="335"/>
      <c r="H48" s="331"/>
      <c r="J48" s="329"/>
    </row>
    <row r="49" spans="1:10" ht="14.65" customHeight="1" thickBot="1" x14ac:dyDescent="0.5">
      <c r="A49" s="325"/>
      <c r="B49" s="337"/>
      <c r="C49" s="338"/>
      <c r="D49" s="338"/>
      <c r="E49" s="338"/>
      <c r="F49" s="338"/>
      <c r="G49" s="338"/>
      <c r="H49" s="339"/>
      <c r="J49" s="329"/>
    </row>
    <row r="50" spans="1:10" ht="3.75" customHeight="1" thickBot="1" x14ac:dyDescent="0.5">
      <c r="A50" s="340"/>
      <c r="B50" s="341"/>
      <c r="C50" s="341"/>
      <c r="D50" s="341"/>
      <c r="E50" s="341"/>
      <c r="F50" s="341"/>
      <c r="G50" s="341"/>
      <c r="H50" s="341"/>
      <c r="I50" s="341"/>
      <c r="J50" s="342"/>
    </row>
    <row r="51" spans="1:10" ht="14.65" customHeight="1" thickTop="1" x14ac:dyDescent="0.45"/>
    <row r="52" spans="1:10" x14ac:dyDescent="0.45">
      <c r="F52" t="s">
        <v>21</v>
      </c>
      <c r="G52" t="s">
        <v>22</v>
      </c>
    </row>
    <row r="53" spans="1:10" x14ac:dyDescent="0.45">
      <c r="F53" t="s">
        <v>26</v>
      </c>
      <c r="G53" t="s">
        <v>27</v>
      </c>
    </row>
    <row r="55" spans="1:10" x14ac:dyDescent="0.45">
      <c r="F55" t="s">
        <v>24</v>
      </c>
      <c r="G55" t="s">
        <v>24</v>
      </c>
    </row>
    <row r="56" spans="1:10" x14ac:dyDescent="0.45">
      <c r="F56" t="s">
        <v>28</v>
      </c>
      <c r="G56" t="s">
        <v>25</v>
      </c>
    </row>
  </sheetData>
  <mergeCells count="18">
    <mergeCell ref="C29:E29"/>
    <mergeCell ref="C30:E30"/>
    <mergeCell ref="F26:G26"/>
    <mergeCell ref="E15:G15"/>
    <mergeCell ref="C9:G9"/>
    <mergeCell ref="E16:G16"/>
    <mergeCell ref="C27:E27"/>
    <mergeCell ref="C10:G10"/>
    <mergeCell ref="E17:F17"/>
    <mergeCell ref="E5:F5"/>
    <mergeCell ref="E18:G18"/>
    <mergeCell ref="C26:E26"/>
    <mergeCell ref="D25:E25"/>
    <mergeCell ref="E4:F4"/>
    <mergeCell ref="C20:G20"/>
    <mergeCell ref="C12:G12"/>
    <mergeCell ref="F24:G24"/>
    <mergeCell ref="E14:G14"/>
  </mergeCells>
  <dataValidations disablePrompts="1" count="4">
    <dataValidation type="list" allowBlank="1" showInputMessage="1" showErrorMessage="1" sqref="F29" xr:uid="{00000000-0002-0000-0200-000000000000}">
      <formula1>$F$52:$F$53</formula1>
    </dataValidation>
    <dataValidation type="list" allowBlank="1" showInputMessage="1" showErrorMessage="1" sqref="G29" xr:uid="{00000000-0002-0000-0200-000001000000}">
      <formula1>$G$52:$G$53</formula1>
    </dataValidation>
    <dataValidation type="list" allowBlank="1" showInputMessage="1" showErrorMessage="1" sqref="F30" xr:uid="{00000000-0002-0000-0200-000002000000}">
      <formula1>$F$55:$F$56</formula1>
    </dataValidation>
    <dataValidation type="list" allowBlank="1" showInputMessage="1" showErrorMessage="1" sqref="G30" xr:uid="{00000000-0002-0000-0200-000003000000}">
      <formula1>$G$55:$G$56</formula1>
    </dataValidation>
  </dataValidations>
  <printOptions horizontalCentered="1"/>
  <pageMargins left="0.15748031496062989" right="7.874015748031496E-2" top="0.19685039370078741" bottom="0.19685039370078741" header="0.51181102362204722" footer="0.51181102362204722"/>
  <pageSetup paperSize="9" scale="83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M30"/>
  <sheetViews>
    <sheetView showGridLines="0" topLeftCell="A3" workbookViewId="0">
      <selection activeCell="H26" sqref="H26"/>
    </sheetView>
  </sheetViews>
  <sheetFormatPr defaultRowHeight="14.25" x14ac:dyDescent="0.45"/>
  <cols>
    <col min="2" max="2" width="5.46484375" customWidth="1"/>
    <col min="3" max="3" width="7.19921875" customWidth="1"/>
    <col min="4" max="4" width="27" customWidth="1"/>
    <col min="5" max="5" width="6.1328125" customWidth="1"/>
    <col min="6" max="6" width="6.06640625" customWidth="1"/>
    <col min="7" max="7" width="7.796875" customWidth="1"/>
    <col min="8" max="8" width="8" customWidth="1"/>
    <col min="9" max="9" width="15.06640625" customWidth="1"/>
    <col min="10" max="10" width="12.19921875" customWidth="1"/>
    <col min="11" max="11" width="14.06640625" customWidth="1"/>
  </cols>
  <sheetData>
    <row r="2" spans="2:13" x14ac:dyDescent="0.45">
      <c r="B2" s="201"/>
      <c r="C2" s="201"/>
    </row>
    <row r="3" spans="2:13" x14ac:dyDescent="0.45">
      <c r="B3" s="201"/>
      <c r="C3" s="201"/>
    </row>
    <row r="4" spans="2:13" ht="20.25" customHeight="1" x14ac:dyDescent="0.7">
      <c r="B4" s="431" t="s">
        <v>2</v>
      </c>
      <c r="C4" s="419"/>
      <c r="D4" s="419"/>
      <c r="E4" s="419"/>
      <c r="F4" s="419"/>
      <c r="G4" s="419"/>
      <c r="H4" s="419"/>
      <c r="I4" s="419"/>
      <c r="J4" s="419"/>
      <c r="K4" s="419"/>
    </row>
    <row r="5" spans="2:13" ht="20.65" customHeight="1" thickBot="1" x14ac:dyDescent="0.75">
      <c r="B5" s="431" t="s">
        <v>122</v>
      </c>
      <c r="C5" s="419"/>
      <c r="D5" s="419"/>
      <c r="E5" s="419"/>
      <c r="F5" s="419"/>
      <c r="G5" s="419"/>
      <c r="H5" s="419"/>
      <c r="I5" s="419"/>
      <c r="J5" s="419"/>
      <c r="K5" s="419"/>
    </row>
    <row r="6" spans="2:13" ht="2.65" customHeight="1" thickBot="1" x14ac:dyDescent="0.5">
      <c r="B6" s="237"/>
      <c r="C6" s="237"/>
      <c r="D6" s="237"/>
      <c r="E6" s="237"/>
      <c r="F6" s="237"/>
      <c r="G6" s="237"/>
      <c r="H6" s="237"/>
      <c r="I6" s="237"/>
      <c r="J6" s="237"/>
      <c r="K6" s="237"/>
    </row>
    <row r="7" spans="2:13" ht="14.65" customHeight="1" thickTop="1" x14ac:dyDescent="0.45"/>
    <row r="8" spans="2:13" x14ac:dyDescent="0.45">
      <c r="B8" s="435" t="s">
        <v>123</v>
      </c>
      <c r="C8" s="419"/>
      <c r="D8" s="202" t="str">
        <f>Input!D16</f>
        <v>JOB Pertamina - Medco E&amp;P Tomori Sulawesi</v>
      </c>
      <c r="I8" s="203" t="s">
        <v>124</v>
      </c>
      <c r="J8" s="437" t="str">
        <f>Input!D11</f>
        <v>042/BSS-JOB/AB/VII/2026</v>
      </c>
      <c r="K8" s="419"/>
    </row>
    <row r="9" spans="2:13" ht="14.25" customHeight="1" x14ac:dyDescent="0.45">
      <c r="B9" s="204"/>
      <c r="C9" s="204"/>
      <c r="D9" s="441" t="str">
        <f>Input!D17</f>
        <v>Bidakara Office Tower I 4Th Floor, Jl. Gatot Subroto Kav. 71 - 73, Jakarta 12870, Indonesia</v>
      </c>
      <c r="E9" s="419"/>
      <c r="F9" s="419"/>
      <c r="G9" s="419"/>
      <c r="H9" s="419"/>
      <c r="I9" s="203" t="s">
        <v>125</v>
      </c>
      <c r="J9" s="440">
        <f>Input!D12</f>
        <v>46234</v>
      </c>
      <c r="K9" s="419"/>
    </row>
    <row r="10" spans="2:13" x14ac:dyDescent="0.45">
      <c r="B10" s="205"/>
      <c r="C10" s="205"/>
      <c r="D10" s="419"/>
      <c r="E10" s="419"/>
      <c r="F10" s="419"/>
      <c r="G10" s="419"/>
      <c r="H10" s="419"/>
      <c r="I10" s="203" t="s">
        <v>126</v>
      </c>
      <c r="J10" s="437" t="str">
        <f>Input!D6</f>
        <v>7207250142</v>
      </c>
      <c r="K10" s="419"/>
    </row>
    <row r="11" spans="2:13" x14ac:dyDescent="0.45">
      <c r="B11" s="205"/>
      <c r="C11" s="205"/>
      <c r="I11" s="203" t="s">
        <v>127</v>
      </c>
      <c r="J11" s="437" t="str">
        <f>Input!D10</f>
        <v>24 Month</v>
      </c>
      <c r="K11" s="419"/>
    </row>
    <row r="12" spans="2:13" x14ac:dyDescent="0.45">
      <c r="B12" s="439" t="s">
        <v>128</v>
      </c>
      <c r="C12" s="419"/>
      <c r="D12" s="202" t="s">
        <v>129</v>
      </c>
    </row>
    <row r="13" spans="2:13" x14ac:dyDescent="0.45">
      <c r="B13" s="202"/>
      <c r="C13" s="202"/>
      <c r="D13" s="202"/>
    </row>
    <row r="14" spans="2:13" ht="14.65" customHeight="1" thickBot="1" x14ac:dyDescent="0.5"/>
    <row r="15" spans="2:13" ht="28.05" customHeight="1" thickTop="1" thickBot="1" x14ac:dyDescent="0.5">
      <c r="B15" s="230" t="s">
        <v>81</v>
      </c>
      <c r="C15" s="451" t="s">
        <v>33</v>
      </c>
      <c r="D15" s="452"/>
      <c r="E15" s="231" t="s">
        <v>34</v>
      </c>
      <c r="F15" s="231" t="s">
        <v>35</v>
      </c>
      <c r="G15" s="231" t="s">
        <v>130</v>
      </c>
      <c r="H15" s="231" t="s">
        <v>35</v>
      </c>
      <c r="I15" s="231" t="s">
        <v>131</v>
      </c>
      <c r="J15" s="231" t="s">
        <v>132</v>
      </c>
      <c r="K15" s="232" t="s">
        <v>133</v>
      </c>
      <c r="M15" s="229"/>
    </row>
    <row r="16" spans="2:13" ht="18" customHeight="1" thickBot="1" x14ac:dyDescent="0.5">
      <c r="B16" s="233" t="s">
        <v>134</v>
      </c>
      <c r="C16" s="432" t="s">
        <v>135</v>
      </c>
      <c r="D16" s="433"/>
      <c r="E16" s="234" t="s">
        <v>136</v>
      </c>
      <c r="F16" s="234" t="s">
        <v>137</v>
      </c>
      <c r="G16" s="234" t="s">
        <v>138</v>
      </c>
      <c r="H16" s="234" t="s">
        <v>139</v>
      </c>
      <c r="I16" s="234" t="s">
        <v>140</v>
      </c>
      <c r="J16" s="234" t="s">
        <v>141</v>
      </c>
      <c r="K16" s="235" t="s">
        <v>142</v>
      </c>
    </row>
    <row r="17" spans="2:11" ht="14.65" customHeight="1" thickBot="1" x14ac:dyDescent="0.5">
      <c r="B17" s="447" t="str">
        <f>'Rincian Pek'!B17</f>
        <v>MONTHLY BASIS</v>
      </c>
      <c r="C17" s="448"/>
      <c r="D17" s="448"/>
      <c r="E17" s="448"/>
      <c r="F17" s="448"/>
      <c r="G17" s="448"/>
      <c r="H17" s="448"/>
      <c r="I17" s="448"/>
      <c r="J17" s="448"/>
      <c r="K17" s="433"/>
    </row>
    <row r="18" spans="2:11" ht="51.4" customHeight="1" thickBot="1" x14ac:dyDescent="0.5">
      <c r="B18" s="222" t="s">
        <v>143</v>
      </c>
      <c r="C18" s="449" t="str">
        <f>'Rincian Pek'!C17</f>
        <v>Jasa Sewa Alat Berat Monthly Basis (Include Operator, Rigger, Helper, BBM &amp; Sertifikasi), Backhoe Loader 70 - 100 HP</v>
      </c>
      <c r="D18" s="433"/>
      <c r="E18" s="223">
        <f>'Rincian Pek'!D17</f>
        <v>1</v>
      </c>
      <c r="F18" s="224" t="str">
        <f>'Rincian Pek'!E17</f>
        <v>Unit</v>
      </c>
      <c r="G18" s="225">
        <f>'Rincian Pek'!J17</f>
        <v>1</v>
      </c>
      <c r="H18" s="224" t="str">
        <f>'Rincian Pek'!K17</f>
        <v>Month</v>
      </c>
      <c r="I18" s="226">
        <v>1</v>
      </c>
      <c r="J18" s="227">
        <f>'Rincian Pek'!L17</f>
        <v>75538000</v>
      </c>
      <c r="K18" s="228">
        <f>E18*G18*I18*J18</f>
        <v>75538000</v>
      </c>
    </row>
    <row r="19" spans="2:11" ht="22.05" customHeight="1" thickBot="1" x14ac:dyDescent="0.5">
      <c r="B19" s="443" t="s">
        <v>144</v>
      </c>
      <c r="C19" s="444"/>
      <c r="D19" s="444"/>
      <c r="E19" s="444"/>
      <c r="F19" s="444"/>
      <c r="G19" s="444"/>
      <c r="H19" s="444"/>
      <c r="I19" s="444"/>
      <c r="J19" s="445"/>
      <c r="K19" s="242">
        <f>K18</f>
        <v>75538000</v>
      </c>
    </row>
    <row r="20" spans="2:11" ht="14.65" customHeight="1" thickTop="1" x14ac:dyDescent="0.45"/>
    <row r="21" spans="2:11" ht="20.75" customHeight="1" x14ac:dyDescent="0.6">
      <c r="B21" s="442" t="s">
        <v>145</v>
      </c>
      <c r="C21" s="419"/>
      <c r="D21" s="450" t="str">
        <f>PROPER([1]!terbilang(K19) &amp; " Rupiah " )</f>
        <v xml:space="preserve"> Tujuh Puluh Lima Juta Lima Ratus Tiga Puluh Delapan Ribu Rupiah </v>
      </c>
      <c r="E21" s="419"/>
      <c r="F21" s="419"/>
      <c r="G21" s="419"/>
      <c r="H21" s="419"/>
      <c r="I21" s="419"/>
      <c r="J21" s="419"/>
      <c r="K21" s="419"/>
    </row>
    <row r="23" spans="2:11" x14ac:dyDescent="0.45">
      <c r="B23" s="453" t="s">
        <v>146</v>
      </c>
      <c r="C23" s="419"/>
      <c r="D23" s="419"/>
      <c r="E23" s="419"/>
      <c r="F23" s="419"/>
      <c r="G23" s="419"/>
      <c r="I23" s="434" t="s">
        <v>2</v>
      </c>
      <c r="J23" s="419"/>
      <c r="K23" s="419"/>
    </row>
    <row r="24" spans="2:11" x14ac:dyDescent="0.45">
      <c r="B24" s="201" t="s">
        <v>147</v>
      </c>
      <c r="C24" s="201"/>
    </row>
    <row r="25" spans="2:11" x14ac:dyDescent="0.45">
      <c r="B25" s="438" t="s">
        <v>148</v>
      </c>
      <c r="C25" s="419"/>
      <c r="D25" s="437" t="s">
        <v>149</v>
      </c>
      <c r="E25" s="419"/>
      <c r="F25" s="419"/>
      <c r="G25" s="419"/>
    </row>
    <row r="26" spans="2:11" x14ac:dyDescent="0.45">
      <c r="B26" s="438" t="s">
        <v>150</v>
      </c>
      <c r="C26" s="419"/>
      <c r="D26" s="437" t="s">
        <v>151</v>
      </c>
      <c r="E26" s="419"/>
      <c r="F26" s="419"/>
      <c r="G26" s="419"/>
    </row>
    <row r="27" spans="2:11" x14ac:dyDescent="0.45">
      <c r="B27" s="438" t="s">
        <v>152</v>
      </c>
      <c r="C27" s="419"/>
      <c r="D27" s="437" t="s">
        <v>153</v>
      </c>
      <c r="E27" s="419"/>
      <c r="F27" s="419"/>
      <c r="G27" s="419"/>
    </row>
    <row r="28" spans="2:11" x14ac:dyDescent="0.45">
      <c r="B28" s="438" t="s">
        <v>154</v>
      </c>
      <c r="C28" s="419"/>
      <c r="D28" s="437" t="s">
        <v>155</v>
      </c>
      <c r="E28" s="419"/>
      <c r="F28" s="419"/>
      <c r="G28" s="419"/>
    </row>
    <row r="29" spans="2:11" x14ac:dyDescent="0.45">
      <c r="I29" s="436" t="s">
        <v>20</v>
      </c>
      <c r="J29" s="419"/>
      <c r="K29" s="419"/>
    </row>
    <row r="30" spans="2:11" x14ac:dyDescent="0.45">
      <c r="I30" s="446" t="s">
        <v>23</v>
      </c>
      <c r="J30" s="419"/>
      <c r="K30" s="419"/>
    </row>
  </sheetData>
  <mergeCells count="28">
    <mergeCell ref="I30:K30"/>
    <mergeCell ref="B26:C26"/>
    <mergeCell ref="B17:K17"/>
    <mergeCell ref="C18:D18"/>
    <mergeCell ref="J8:K8"/>
    <mergeCell ref="D28:G28"/>
    <mergeCell ref="D21:K21"/>
    <mergeCell ref="B25:C25"/>
    <mergeCell ref="C15:D15"/>
    <mergeCell ref="D25:G25"/>
    <mergeCell ref="B23:G23"/>
    <mergeCell ref="J10:K10"/>
    <mergeCell ref="B4:K4"/>
    <mergeCell ref="C16:D16"/>
    <mergeCell ref="I23:K23"/>
    <mergeCell ref="B8:C8"/>
    <mergeCell ref="I29:K29"/>
    <mergeCell ref="J11:K11"/>
    <mergeCell ref="B28:C28"/>
    <mergeCell ref="D27:G27"/>
    <mergeCell ref="B27:C27"/>
    <mergeCell ref="B5:K5"/>
    <mergeCell ref="B12:C12"/>
    <mergeCell ref="J9:K9"/>
    <mergeCell ref="D9:H10"/>
    <mergeCell ref="B21:C21"/>
    <mergeCell ref="B19:J19"/>
    <mergeCell ref="D26:G26"/>
  </mergeCells>
  <printOptions horizontalCentered="1"/>
  <pageMargins left="0.35433070866141742" right="0.15748031496062989" top="0.59055118110236227" bottom="0.19685039370078741" header="0.51181102362204722" footer="0.51181102362204722"/>
  <pageSetup paperSize="9" scale="9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2:O30"/>
  <sheetViews>
    <sheetView showGridLines="0" topLeftCell="A16" workbookViewId="0">
      <selection activeCell="C10" sqref="C10"/>
    </sheetView>
  </sheetViews>
  <sheetFormatPr defaultRowHeight="14.25" x14ac:dyDescent="0.45"/>
  <cols>
    <col min="1" max="1" width="6" customWidth="1"/>
    <col min="2" max="2" width="26.73046875" customWidth="1"/>
    <col min="3" max="3" width="7.33203125" customWidth="1"/>
    <col min="4" max="4" width="6.53125" customWidth="1"/>
    <col min="5" max="5" width="7.53125" customWidth="1"/>
    <col min="6" max="6" width="14.1328125" customWidth="1"/>
    <col min="7" max="7" width="13.73046875" customWidth="1"/>
    <col min="8" max="8" width="6.59765625" bestFit="1" customWidth="1"/>
    <col min="9" max="9" width="9.1328125" bestFit="1" customWidth="1"/>
    <col min="10" max="10" width="6.59765625" bestFit="1" customWidth="1"/>
    <col min="11" max="11" width="12.1328125" bestFit="1" customWidth="1"/>
    <col min="12" max="12" width="6.59765625" bestFit="1" customWidth="1"/>
    <col min="13" max="13" width="12.1328125" bestFit="1" customWidth="1"/>
    <col min="14" max="14" width="6.59765625" bestFit="1" customWidth="1"/>
    <col min="15" max="15" width="13.1328125" bestFit="1" customWidth="1"/>
  </cols>
  <sheetData>
    <row r="2" spans="1:15" ht="20" customHeight="1" x14ac:dyDescent="0.45">
      <c r="A2" s="474"/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</row>
    <row r="3" spans="1:15" ht="20" customHeight="1" x14ac:dyDescent="0.45">
      <c r="A3" s="474" t="s">
        <v>156</v>
      </c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</row>
    <row r="4" spans="1:15" ht="20" customHeight="1" thickBot="1" x14ac:dyDescent="0.6">
      <c r="A4" s="75"/>
      <c r="B4" s="80" t="s">
        <v>2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5" ht="3.75" customHeight="1" thickTop="1" thickBot="1" x14ac:dyDescent="0.6">
      <c r="A5" s="239"/>
      <c r="B5" s="240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</row>
    <row r="6" spans="1:15" ht="14.65" customHeight="1" thickTop="1" x14ac:dyDescent="0.45"/>
    <row r="7" spans="1:15" ht="19.05" customHeight="1" x14ac:dyDescent="0.45">
      <c r="A7" s="475" t="s">
        <v>157</v>
      </c>
      <c r="B7" s="467"/>
      <c r="C7" s="424">
        <f>Input!D12</f>
        <v>46234</v>
      </c>
      <c r="D7" s="419"/>
      <c r="E7" s="419"/>
    </row>
    <row r="8" spans="1:15" ht="19.05" customHeight="1" x14ac:dyDescent="0.45">
      <c r="A8" s="477" t="s">
        <v>118</v>
      </c>
      <c r="B8" s="467"/>
      <c r="C8" t="str">
        <f>Input!D29</f>
        <v>7207250142-BSS-CTR-2026-019</v>
      </c>
    </row>
    <row r="9" spans="1:15" ht="19.05" customHeight="1" x14ac:dyDescent="0.45">
      <c r="A9" s="473" t="s">
        <v>115</v>
      </c>
      <c r="B9" s="419"/>
      <c r="C9" t="str">
        <f>Input!D27</f>
        <v>7207250142-BSS-WO-2026-019</v>
      </c>
    </row>
    <row r="10" spans="1:15" ht="19.05" customHeight="1" x14ac:dyDescent="0.45">
      <c r="A10" s="469" t="s">
        <v>158</v>
      </c>
      <c r="B10" s="419"/>
      <c r="C10" t="str">
        <f>Input!D28</f>
        <v>Jasa Sewa Backhoe Loader untuk Support Kegiatan Operation dan Maintenance di Area Senoro dan Tiaka Periode Juli - September 2026 (01 - 31 Juli 2026)</v>
      </c>
    </row>
    <row r="12" spans="1:15" ht="15" customHeight="1" x14ac:dyDescent="0.45">
      <c r="A12" s="472" t="s">
        <v>159</v>
      </c>
      <c r="B12" s="460"/>
      <c r="C12" s="461"/>
      <c r="D12" s="472" t="s">
        <v>160</v>
      </c>
      <c r="E12" s="460"/>
      <c r="F12" s="461"/>
      <c r="G12" s="472" t="s">
        <v>161</v>
      </c>
      <c r="H12" s="460"/>
      <c r="I12" s="460"/>
      <c r="J12" s="461"/>
      <c r="K12" s="472" t="s">
        <v>162</v>
      </c>
      <c r="L12" s="460"/>
      <c r="M12" s="460"/>
      <c r="N12" s="460"/>
      <c r="O12" s="461"/>
    </row>
    <row r="13" spans="1:15" ht="22.05" customHeight="1" x14ac:dyDescent="0.45">
      <c r="A13" s="459">
        <f>G20</f>
        <v>226614000</v>
      </c>
      <c r="B13" s="460"/>
      <c r="C13" s="461"/>
      <c r="D13" s="459">
        <f>I20</f>
        <v>0</v>
      </c>
      <c r="E13" s="460"/>
      <c r="F13" s="461"/>
      <c r="G13" s="459">
        <f>K20</f>
        <v>75538000</v>
      </c>
      <c r="H13" s="460"/>
      <c r="I13" s="460"/>
      <c r="J13" s="461"/>
      <c r="K13" s="459">
        <f>O20</f>
        <v>151076000</v>
      </c>
      <c r="L13" s="460"/>
      <c r="M13" s="460"/>
      <c r="N13" s="460"/>
      <c r="O13" s="461"/>
    </row>
    <row r="15" spans="1:15" ht="14.65" customHeight="1" thickBot="1" x14ac:dyDescent="0.5"/>
    <row r="16" spans="1:15" ht="22.05" customHeight="1" x14ac:dyDescent="0.45">
      <c r="A16" s="470" t="s">
        <v>163</v>
      </c>
      <c r="B16" s="462" t="s">
        <v>164</v>
      </c>
      <c r="C16" s="462" t="s">
        <v>165</v>
      </c>
      <c r="D16" s="462" t="s">
        <v>166</v>
      </c>
      <c r="E16" s="462" t="s">
        <v>167</v>
      </c>
      <c r="F16" s="476"/>
      <c r="G16" s="463"/>
      <c r="H16" s="462" t="s">
        <v>168</v>
      </c>
      <c r="I16" s="463"/>
      <c r="J16" s="462" t="s">
        <v>169</v>
      </c>
      <c r="K16" s="463"/>
      <c r="L16" s="462" t="s">
        <v>170</v>
      </c>
      <c r="M16" s="463"/>
      <c r="N16" s="462" t="s">
        <v>171</v>
      </c>
      <c r="O16" s="463"/>
    </row>
    <row r="17" spans="1:15" ht="22.05" customHeight="1" x14ac:dyDescent="0.45">
      <c r="A17" s="471"/>
      <c r="B17" s="465"/>
      <c r="C17" s="465"/>
      <c r="D17" s="465"/>
      <c r="E17" s="245" t="s">
        <v>172</v>
      </c>
      <c r="F17" s="245" t="s">
        <v>37</v>
      </c>
      <c r="G17" s="245" t="s">
        <v>173</v>
      </c>
      <c r="H17" s="245" t="s">
        <v>172</v>
      </c>
      <c r="I17" s="245" t="s">
        <v>38</v>
      </c>
      <c r="J17" s="245" t="s">
        <v>172</v>
      </c>
      <c r="K17" s="245" t="s">
        <v>38</v>
      </c>
      <c r="L17" s="245" t="s">
        <v>172</v>
      </c>
      <c r="M17" s="245" t="s">
        <v>38</v>
      </c>
      <c r="N17" s="245" t="s">
        <v>172</v>
      </c>
      <c r="O17" s="246" t="s">
        <v>38</v>
      </c>
    </row>
    <row r="18" spans="1:15" ht="56.25" customHeight="1" x14ac:dyDescent="0.45">
      <c r="A18" s="247" t="s">
        <v>174</v>
      </c>
      <c r="B18" s="248" t="str">
        <f>'Rincian Pek'!C17</f>
        <v>Jasa Sewa Alat Berat Monthly Basis (Include Operator, Rigger, Helper, BBM &amp; Sertifikasi), Backhoe Loader 70 - 100 HP</v>
      </c>
      <c r="C18" s="249">
        <v>1</v>
      </c>
      <c r="D18" s="250" t="s">
        <v>45</v>
      </c>
      <c r="E18" s="249">
        <v>3</v>
      </c>
      <c r="F18" s="346">
        <v>75538000</v>
      </c>
      <c r="G18" s="346">
        <f>E18*F18</f>
        <v>226614000</v>
      </c>
      <c r="H18" s="249">
        <v>0</v>
      </c>
      <c r="I18" s="346">
        <f>H18*F18</f>
        <v>0</v>
      </c>
      <c r="J18" s="249">
        <f>'Rincian Pek'!J17</f>
        <v>1</v>
      </c>
      <c r="K18" s="346">
        <f>'Rincian Pek'!L17</f>
        <v>75538000</v>
      </c>
      <c r="L18" s="249">
        <f>H18+J18</f>
        <v>1</v>
      </c>
      <c r="M18" s="346">
        <f>I18+K18</f>
        <v>75538000</v>
      </c>
      <c r="N18" s="249">
        <f>E18-L18</f>
        <v>2</v>
      </c>
      <c r="O18" s="348">
        <f>G18-M18</f>
        <v>151076000</v>
      </c>
    </row>
    <row r="19" spans="1:15" ht="20" customHeight="1" x14ac:dyDescent="0.45">
      <c r="A19" s="247"/>
      <c r="B19" s="248"/>
      <c r="C19" s="249"/>
      <c r="D19" s="250"/>
      <c r="E19" s="249"/>
      <c r="F19" s="346"/>
      <c r="G19" s="346"/>
      <c r="H19" s="249"/>
      <c r="I19" s="346"/>
      <c r="J19" s="249"/>
      <c r="K19" s="346"/>
      <c r="L19" s="249"/>
      <c r="M19" s="346"/>
      <c r="N19" s="249"/>
      <c r="O19" s="348"/>
    </row>
    <row r="20" spans="1:15" ht="24" customHeight="1" thickBot="1" x14ac:dyDescent="0.5">
      <c r="A20" s="251"/>
      <c r="B20" s="252" t="s">
        <v>175</v>
      </c>
      <c r="C20" s="253">
        <f>SUM(C18)</f>
        <v>1</v>
      </c>
      <c r="D20" s="254" t="s">
        <v>45</v>
      </c>
      <c r="E20" s="253">
        <f>SUM(E18)</f>
        <v>3</v>
      </c>
      <c r="F20" s="347">
        <v>131224000</v>
      </c>
      <c r="G20" s="347">
        <f t="shared" ref="G20:O20" si="0">SUM(G18)</f>
        <v>226614000</v>
      </c>
      <c r="H20" s="253">
        <f t="shared" si="0"/>
        <v>0</v>
      </c>
      <c r="I20" s="347">
        <f t="shared" si="0"/>
        <v>0</v>
      </c>
      <c r="J20" s="253">
        <f t="shared" si="0"/>
        <v>1</v>
      </c>
      <c r="K20" s="347">
        <f t="shared" si="0"/>
        <v>75538000</v>
      </c>
      <c r="L20" s="253">
        <f t="shared" si="0"/>
        <v>1</v>
      </c>
      <c r="M20" s="347">
        <f t="shared" si="0"/>
        <v>75538000</v>
      </c>
      <c r="N20" s="253">
        <f t="shared" si="0"/>
        <v>2</v>
      </c>
      <c r="O20" s="349">
        <f t="shared" si="0"/>
        <v>151076000</v>
      </c>
    </row>
    <row r="23" spans="1:15" x14ac:dyDescent="0.45">
      <c r="A23" s="77" t="s">
        <v>176</v>
      </c>
    </row>
    <row r="24" spans="1:15" x14ac:dyDescent="0.45">
      <c r="B24" s="466" t="s">
        <v>2</v>
      </c>
      <c r="C24" s="467"/>
      <c r="D24" s="467"/>
      <c r="E24" s="468"/>
      <c r="G24" s="466" t="s">
        <v>177</v>
      </c>
      <c r="H24" s="467"/>
      <c r="I24" s="467"/>
      <c r="J24" s="467"/>
      <c r="K24" s="467"/>
      <c r="L24" s="467"/>
      <c r="M24" s="467"/>
      <c r="N24" s="467"/>
      <c r="O24" s="468"/>
    </row>
    <row r="25" spans="1:15" x14ac:dyDescent="0.45">
      <c r="B25" s="464" t="s">
        <v>17</v>
      </c>
      <c r="C25" s="419"/>
      <c r="D25" s="419"/>
      <c r="E25" s="458"/>
      <c r="G25" s="464" t="s">
        <v>18</v>
      </c>
      <c r="H25" s="419"/>
      <c r="I25" s="419"/>
      <c r="J25" s="458"/>
      <c r="L25" s="464" t="s">
        <v>19</v>
      </c>
      <c r="M25" s="419"/>
      <c r="N25" s="419"/>
      <c r="O25" s="458"/>
    </row>
    <row r="26" spans="1:15" x14ac:dyDescent="0.45">
      <c r="B26" s="79"/>
      <c r="E26" s="78"/>
      <c r="G26" s="79"/>
      <c r="J26" s="78"/>
      <c r="L26" s="79"/>
      <c r="O26" s="78"/>
    </row>
    <row r="27" spans="1:15" x14ac:dyDescent="0.45">
      <c r="B27" s="79"/>
      <c r="E27" s="78"/>
      <c r="G27" s="79"/>
      <c r="J27" s="78"/>
      <c r="L27" s="79"/>
      <c r="O27" s="78"/>
    </row>
    <row r="28" spans="1:15" x14ac:dyDescent="0.45">
      <c r="B28" s="79"/>
      <c r="E28" s="78"/>
      <c r="G28" s="79"/>
      <c r="J28" s="78"/>
      <c r="L28" s="79"/>
      <c r="O28" s="78"/>
    </row>
    <row r="29" spans="1:15" x14ac:dyDescent="0.45">
      <c r="B29" s="457" t="s">
        <v>20</v>
      </c>
      <c r="C29" s="419"/>
      <c r="D29" s="419"/>
      <c r="E29" s="458"/>
      <c r="G29" s="457" t="str">
        <f>Input!D18</f>
        <v>Ronny Dwi Purnomo / Rafik Hidayat</v>
      </c>
      <c r="H29" s="419"/>
      <c r="I29" s="419"/>
      <c r="J29" s="458"/>
      <c r="L29" s="457" t="s">
        <v>22</v>
      </c>
      <c r="M29" s="419"/>
      <c r="N29" s="419"/>
      <c r="O29" s="458"/>
    </row>
    <row r="30" spans="1:15" x14ac:dyDescent="0.45">
      <c r="B30" s="454" t="s">
        <v>178</v>
      </c>
      <c r="C30" s="455"/>
      <c r="D30" s="455"/>
      <c r="E30" s="456"/>
      <c r="G30" s="454" t="s">
        <v>24</v>
      </c>
      <c r="H30" s="455"/>
      <c r="I30" s="455"/>
      <c r="J30" s="456"/>
      <c r="L30" s="454" t="s">
        <v>25</v>
      </c>
      <c r="M30" s="455"/>
      <c r="N30" s="455"/>
      <c r="O30" s="456"/>
    </row>
  </sheetData>
  <mergeCells count="35">
    <mergeCell ref="A9:B9"/>
    <mergeCell ref="L25:O25"/>
    <mergeCell ref="A3:O3"/>
    <mergeCell ref="G24:O24"/>
    <mergeCell ref="A2:O2"/>
    <mergeCell ref="A7:B7"/>
    <mergeCell ref="G12:J12"/>
    <mergeCell ref="D12:F12"/>
    <mergeCell ref="D16:D17"/>
    <mergeCell ref="C7:E7"/>
    <mergeCell ref="E16:G16"/>
    <mergeCell ref="K12:O12"/>
    <mergeCell ref="A13:C13"/>
    <mergeCell ref="H16:I16"/>
    <mergeCell ref="J16:K16"/>
    <mergeCell ref="A8:B8"/>
    <mergeCell ref="A10:B10"/>
    <mergeCell ref="A16:A17"/>
    <mergeCell ref="C16:C17"/>
    <mergeCell ref="A12:C12"/>
    <mergeCell ref="N16:O16"/>
    <mergeCell ref="L30:O30"/>
    <mergeCell ref="B29:E29"/>
    <mergeCell ref="G30:J30"/>
    <mergeCell ref="L29:O29"/>
    <mergeCell ref="D13:F13"/>
    <mergeCell ref="L16:M16"/>
    <mergeCell ref="K13:O13"/>
    <mergeCell ref="G13:J13"/>
    <mergeCell ref="G25:J25"/>
    <mergeCell ref="B25:E25"/>
    <mergeCell ref="B16:B17"/>
    <mergeCell ref="B24:E24"/>
    <mergeCell ref="B30:E30"/>
    <mergeCell ref="G29:J29"/>
  </mergeCells>
  <conditionalFormatting sqref="A7:O10">
    <cfRule type="expression" dxfId="5" priority="1">
      <formula>ISODD(ROW())</formula>
    </cfRule>
  </conditionalFormatting>
  <conditionalFormatting sqref="A18:O19">
    <cfRule type="expression" dxfId="4" priority="4">
      <formula>ISODD(ROW())</formula>
    </cfRule>
  </conditionalFormatting>
  <printOptions horizontalCentered="1"/>
  <pageMargins left="0.15748031496062989" right="0.15748031496062989" top="0.19685039370078741" bottom="0.19685039370078741" header="0.51181102362204722" footer="0.51181102362204722"/>
  <pageSetup paperSize="9" scale="9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2:Y40"/>
  <sheetViews>
    <sheetView showGridLines="0" topLeftCell="A9" zoomScale="75" zoomScaleNormal="75" workbookViewId="0">
      <selection activeCell="C17" sqref="C17"/>
    </sheetView>
  </sheetViews>
  <sheetFormatPr defaultRowHeight="14.25" x14ac:dyDescent="0.45"/>
  <cols>
    <col min="1" max="1" width="5.59765625" customWidth="1"/>
    <col min="2" max="2" width="18.1328125" customWidth="1"/>
    <col min="3" max="3" width="38.86328125" customWidth="1"/>
    <col min="4" max="4" width="5.53125" customWidth="1"/>
    <col min="5" max="5" width="6" customWidth="1"/>
    <col min="6" max="6" width="14" customWidth="1"/>
    <col min="7" max="7" width="13.59765625" customWidth="1"/>
    <col min="8" max="8" width="5.265625" customWidth="1"/>
    <col min="9" max="9" width="5.73046875" customWidth="1"/>
    <col min="10" max="10" width="6.53125" customWidth="1"/>
    <col min="11" max="11" width="5.86328125" customWidth="1"/>
    <col min="12" max="12" width="15.33203125" customWidth="1"/>
    <col min="13" max="13" width="15.1328125" bestFit="1" customWidth="1"/>
    <col min="14" max="14" width="28.1328125" customWidth="1"/>
    <col min="15" max="15" width="5" customWidth="1"/>
    <col min="16" max="16" width="14.19921875" customWidth="1"/>
    <col min="17" max="17" width="13.3984375" customWidth="1"/>
    <col min="18" max="18" width="13.3984375" bestFit="1" customWidth="1"/>
    <col min="19" max="19" width="15.53125" customWidth="1"/>
    <col min="20" max="20" width="16.46484375" customWidth="1"/>
    <col min="21" max="21" width="0.46484375" customWidth="1"/>
    <col min="22" max="22" width="14.73046875" customWidth="1"/>
    <col min="24" max="24" width="12.33203125" bestFit="1" customWidth="1"/>
  </cols>
  <sheetData>
    <row r="2" spans="1:25" ht="20.25" customHeight="1" x14ac:dyDescent="0.45">
      <c r="A2" s="500" t="s">
        <v>179</v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</row>
    <row r="3" spans="1:25" x14ac:dyDescent="0.45">
      <c r="A3" s="491" t="s">
        <v>180</v>
      </c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</row>
    <row r="4" spans="1:25" ht="14.65" customHeight="1" thickBot="1" x14ac:dyDescent="0.5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</row>
    <row r="5" spans="1:25" ht="3.4" customHeight="1" thickBot="1" x14ac:dyDescent="0.5">
      <c r="A5" s="238"/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</row>
    <row r="6" spans="1:25" ht="3" customHeight="1" thickTop="1" x14ac:dyDescent="0.45"/>
    <row r="7" spans="1:25" ht="25.15" customHeight="1" x14ac:dyDescent="0.7">
      <c r="A7" s="110" t="s">
        <v>181</v>
      </c>
    </row>
    <row r="8" spans="1:25" ht="20.100000000000001" customHeight="1" x14ac:dyDescent="0.45">
      <c r="A8" s="498" t="s">
        <v>182</v>
      </c>
      <c r="B8" s="419"/>
      <c r="C8" s="503" t="str">
        <f>Input!D25</f>
        <v>7207250142-BSS-WCC-2026-019</v>
      </c>
      <c r="D8" s="419"/>
      <c r="E8" s="419"/>
      <c r="F8" s="419"/>
      <c r="G8" s="419"/>
      <c r="H8" s="489" t="s">
        <v>183</v>
      </c>
      <c r="I8" s="419"/>
      <c r="J8" s="419"/>
      <c r="K8" s="478" t="str">
        <f>Input!D16</f>
        <v>JOB Pertamina - Medco E&amp;P Tomori Sulawesi</v>
      </c>
      <c r="L8" s="419"/>
      <c r="M8" s="419"/>
      <c r="N8" s="419"/>
    </row>
    <row r="9" spans="1:25" ht="20.100000000000001" customHeight="1" x14ac:dyDescent="0.45">
      <c r="A9" s="486" t="s">
        <v>184</v>
      </c>
      <c r="B9" s="419"/>
      <c r="C9" s="495" t="str">
        <f>Input!D6</f>
        <v>7207250142</v>
      </c>
      <c r="D9" s="419"/>
      <c r="E9" s="419"/>
      <c r="F9" s="419"/>
      <c r="G9" s="419"/>
      <c r="H9" s="483" t="s">
        <v>185</v>
      </c>
      <c r="I9" s="419"/>
      <c r="J9" s="419"/>
      <c r="K9" s="494">
        <f>Input!D13</f>
        <v>4500011424</v>
      </c>
      <c r="L9" s="419"/>
      <c r="M9" s="419"/>
      <c r="N9" s="419"/>
    </row>
    <row r="10" spans="1:25" ht="45" customHeight="1" x14ac:dyDescent="0.45">
      <c r="A10" s="498" t="s">
        <v>186</v>
      </c>
      <c r="B10" s="419"/>
      <c r="C10" s="499" t="str">
        <f>Input!D8</f>
        <v>Jasa Sewa Alat Berat Pendukung Operasional Senoro dan Tiaka</v>
      </c>
      <c r="D10" s="419"/>
      <c r="E10" s="419"/>
      <c r="F10" s="419"/>
      <c r="G10" s="419"/>
      <c r="H10" s="489" t="s">
        <v>187</v>
      </c>
      <c r="I10" s="419"/>
      <c r="J10" s="419"/>
      <c r="K10" s="478" t="str">
        <f>Input!D15</f>
        <v>“Jasa Sewa Backhoe Loader Untuk support Kegiatan Operation &amp; Maintenance di Area Senoro dan Tiaka Periode Juli - September 2026, Refer CTR No. 7207250142-BSS-CTR-2026-019" (01 - 31 Juli 2026)</v>
      </c>
      <c r="L10" s="419"/>
      <c r="M10" s="419"/>
      <c r="N10" s="419"/>
    </row>
    <row r="11" spans="1:25" ht="20.100000000000001" customHeight="1" x14ac:dyDescent="0.45">
      <c r="A11" s="486" t="s">
        <v>188</v>
      </c>
      <c r="B11" s="419"/>
      <c r="C11" s="495" t="str">
        <f>Input!D7</f>
        <v>S250551FLD-R1</v>
      </c>
      <c r="D11" s="419"/>
      <c r="E11" s="419"/>
      <c r="F11" s="419"/>
      <c r="G11" s="419"/>
      <c r="H11" s="483" t="s">
        <v>97</v>
      </c>
      <c r="I11" s="419"/>
      <c r="J11" s="419"/>
      <c r="K11" s="501">
        <f>Input!D14</f>
        <v>46204</v>
      </c>
      <c r="L11" s="419"/>
      <c r="M11" s="419"/>
      <c r="N11" s="419"/>
    </row>
    <row r="12" spans="1:25" ht="20.100000000000001" customHeight="1" x14ac:dyDescent="0.45">
      <c r="A12" s="498" t="s">
        <v>189</v>
      </c>
      <c r="B12" s="419"/>
      <c r="C12" s="492">
        <f>Input!D12</f>
        <v>46234</v>
      </c>
      <c r="D12" s="419"/>
      <c r="E12" s="419"/>
      <c r="F12" s="419"/>
      <c r="G12" s="419"/>
      <c r="H12" s="489" t="s">
        <v>190</v>
      </c>
      <c r="I12" s="419"/>
      <c r="J12" s="419"/>
      <c r="K12" s="478" t="s">
        <v>191</v>
      </c>
      <c r="L12" s="419"/>
      <c r="M12" s="419"/>
      <c r="N12" s="419"/>
    </row>
    <row r="14" spans="1:25" ht="28.15" customHeight="1" x14ac:dyDescent="0.45">
      <c r="A14" s="484" t="s">
        <v>31</v>
      </c>
      <c r="B14" s="484" t="s">
        <v>192</v>
      </c>
      <c r="C14" s="484" t="s">
        <v>193</v>
      </c>
      <c r="D14" s="484" t="s">
        <v>194</v>
      </c>
      <c r="E14" s="484" t="s">
        <v>35</v>
      </c>
      <c r="F14" s="484" t="s">
        <v>195</v>
      </c>
      <c r="G14" s="481"/>
      <c r="H14" s="481"/>
      <c r="I14" s="482"/>
      <c r="J14" s="484" t="s">
        <v>196</v>
      </c>
      <c r="K14" s="482"/>
      <c r="L14" s="484" t="s">
        <v>197</v>
      </c>
      <c r="M14" s="484" t="s">
        <v>198</v>
      </c>
      <c r="N14" s="484" t="s">
        <v>199</v>
      </c>
      <c r="P14" s="490" t="s">
        <v>200</v>
      </c>
      <c r="Q14" s="382"/>
      <c r="R14" s="382"/>
      <c r="S14" s="383"/>
      <c r="T14" s="496" t="s">
        <v>201</v>
      </c>
      <c r="U14" s="52"/>
      <c r="V14" s="490" t="s">
        <v>202</v>
      </c>
      <c r="W14" s="382"/>
      <c r="X14" s="382"/>
      <c r="Y14" s="383"/>
    </row>
    <row r="15" spans="1:25" ht="19.149999999999999" customHeight="1" x14ac:dyDescent="0.45">
      <c r="A15" s="485"/>
      <c r="B15" s="485"/>
      <c r="C15" s="485"/>
      <c r="D15" s="485"/>
      <c r="E15" s="485"/>
      <c r="F15" s="236" t="s">
        <v>203</v>
      </c>
      <c r="G15" s="236" t="s">
        <v>204</v>
      </c>
      <c r="H15" s="236" t="s">
        <v>194</v>
      </c>
      <c r="I15" s="236" t="s">
        <v>35</v>
      </c>
      <c r="J15" s="236" t="s">
        <v>194</v>
      </c>
      <c r="K15" s="236" t="s">
        <v>35</v>
      </c>
      <c r="L15" s="485"/>
      <c r="M15" s="485"/>
      <c r="N15" s="485"/>
      <c r="P15" s="55" t="s">
        <v>205</v>
      </c>
      <c r="Q15" s="55" t="s">
        <v>206</v>
      </c>
      <c r="R15" s="55" t="s">
        <v>207</v>
      </c>
      <c r="S15" s="55" t="s">
        <v>208</v>
      </c>
      <c r="T15" s="497"/>
      <c r="U15" s="52"/>
      <c r="V15" s="53" t="s">
        <v>205</v>
      </c>
      <c r="W15" s="53" t="s">
        <v>206</v>
      </c>
      <c r="X15" s="53" t="s">
        <v>207</v>
      </c>
      <c r="Y15" s="53" t="s">
        <v>208</v>
      </c>
    </row>
    <row r="16" spans="1:25" ht="14.65" customHeight="1" x14ac:dyDescent="0.45">
      <c r="A16" s="3" t="s">
        <v>209</v>
      </c>
      <c r="B16" s="3" t="s">
        <v>210</v>
      </c>
      <c r="C16" s="111" t="s">
        <v>211</v>
      </c>
      <c r="D16" s="112" t="s">
        <v>212</v>
      </c>
      <c r="E16" s="3" t="s">
        <v>213</v>
      </c>
      <c r="F16" s="109" t="s">
        <v>214</v>
      </c>
      <c r="G16" s="109" t="s">
        <v>215</v>
      </c>
      <c r="H16" s="3" t="s">
        <v>216</v>
      </c>
      <c r="I16" s="3" t="s">
        <v>217</v>
      </c>
      <c r="J16" s="3" t="s">
        <v>218</v>
      </c>
      <c r="K16" s="3" t="s">
        <v>219</v>
      </c>
      <c r="L16" s="113" t="s">
        <v>220</v>
      </c>
      <c r="M16" s="113" t="s">
        <v>221</v>
      </c>
      <c r="N16" s="60" t="s">
        <v>222</v>
      </c>
      <c r="P16" s="56"/>
      <c r="Q16" s="56"/>
      <c r="R16" s="56"/>
      <c r="S16" s="56"/>
      <c r="T16" s="497"/>
      <c r="U16" s="54"/>
      <c r="V16" s="51"/>
      <c r="W16" s="51"/>
      <c r="X16" s="51"/>
      <c r="Y16" s="51"/>
    </row>
    <row r="17" spans="1:25" ht="52.9" customHeight="1" x14ac:dyDescent="0.45">
      <c r="A17" s="298">
        <v>1</v>
      </c>
      <c r="B17" s="299" t="s">
        <v>41</v>
      </c>
      <c r="C17" s="300" t="s">
        <v>48</v>
      </c>
      <c r="D17" s="301">
        <v>1</v>
      </c>
      <c r="E17" s="302" t="s">
        <v>35</v>
      </c>
      <c r="F17" s="303">
        <v>46204</v>
      </c>
      <c r="G17" s="303">
        <v>46234</v>
      </c>
      <c r="H17" s="304">
        <f>Table3[[#This Row],[Column7]]-Table3[[#This Row],[Column6]]+1</f>
        <v>31</v>
      </c>
      <c r="I17" s="305" t="str">
        <f>IF(E17="","","Days")</f>
        <v>Days</v>
      </c>
      <c r="J17" s="306">
        <v>1</v>
      </c>
      <c r="K17" s="298" t="s">
        <v>45</v>
      </c>
      <c r="L17" s="307">
        <f>VLOOKUP(Table3[[#This Row],[Column3]],Table8[[Description]:[Total Price]],5,0)</f>
        <v>75538000</v>
      </c>
      <c r="M17" s="307">
        <f>L17*J17</f>
        <v>75538000</v>
      </c>
      <c r="N17" s="308" t="s">
        <v>223</v>
      </c>
      <c r="P17" s="296">
        <f>'Rekap biaya'!R16*50/100*Table3[[#This Row],[Column10]]</f>
        <v>11400000</v>
      </c>
      <c r="Q17" s="296">
        <f>('Rekap biaya'!S16+'Rekap biaya'!T16)*Table3[[#This Row],[Column10]]</f>
        <v>21349217.333333328</v>
      </c>
      <c r="R17" s="296">
        <f>('Rekap biaya'!N16+'Rekap biaya'!Q16+'Rekap biaya'!X16+'Rekap biaya'!Y16)*Table3[[#This Row],[Column10]]</f>
        <v>22821777.777777776</v>
      </c>
      <c r="S17" s="58">
        <f>('Rekap biaya'!U16+'Rekap biaya'!V16+'Rekap biaya'!W16)*Table3[[#This Row],[Column10]]</f>
        <v>1172500</v>
      </c>
      <c r="T17" s="58">
        <f>('Rekap biaya'!O16*50/100)*Table3[[#This Row],[Column10]]</f>
        <v>3697000</v>
      </c>
      <c r="V17" s="296">
        <f>('Rekap biaya'!R16*5/100)*Table3[[#This Row],[Column10]]</f>
        <v>1140000</v>
      </c>
      <c r="W17" s="57"/>
      <c r="X17" s="296">
        <f>('Rekap biaya'!R16*5%)*Table3[[#This Row],[Column10]]</f>
        <v>1140000</v>
      </c>
      <c r="Y17" s="57"/>
    </row>
    <row r="18" spans="1:25" x14ac:dyDescent="0.45">
      <c r="A18" s="309"/>
      <c r="B18" s="310"/>
      <c r="C18" s="311"/>
      <c r="D18" s="312"/>
      <c r="E18" s="313"/>
      <c r="F18" s="314"/>
      <c r="G18" s="314"/>
      <c r="H18" s="315"/>
      <c r="I18" s="316"/>
      <c r="J18" s="315"/>
      <c r="K18" s="313"/>
      <c r="L18" s="317"/>
      <c r="M18" s="317"/>
      <c r="N18" s="318"/>
      <c r="P18" s="58">
        <f>Table3[[#This Row],[Column13]]*5%</f>
        <v>0</v>
      </c>
      <c r="Q18" s="58">
        <f>Table3[[#This Row],[Column13]]*10%</f>
        <v>0</v>
      </c>
      <c r="R18" s="58">
        <f>'Rekap biaya'!R16*40/100*J17</f>
        <v>9120000</v>
      </c>
      <c r="S18" s="58">
        <f>Table3[[#This Row],[Column13]]*3%</f>
        <v>0</v>
      </c>
      <c r="T18" s="58">
        <f>Table3[[#This Row],[Column13]]*2/100</f>
        <v>0</v>
      </c>
      <c r="V18" s="58">
        <f>Table3[[#This Row],[Column13]]*5/100</f>
        <v>0</v>
      </c>
      <c r="W18" s="57"/>
      <c r="X18" s="57"/>
      <c r="Y18" s="57"/>
    </row>
    <row r="19" spans="1:25" ht="24.75" customHeight="1" x14ac:dyDescent="0.45">
      <c r="A19" s="480" t="s">
        <v>224</v>
      </c>
      <c r="B19" s="481"/>
      <c r="C19" s="481"/>
      <c r="D19" s="481"/>
      <c r="E19" s="481"/>
      <c r="F19" s="481"/>
      <c r="G19" s="482"/>
      <c r="H19" s="297"/>
      <c r="I19" s="297"/>
      <c r="J19" s="297"/>
      <c r="K19" s="297"/>
      <c r="L19" s="297"/>
      <c r="M19" s="319">
        <f>SUM(M17:M18)</f>
        <v>75538000</v>
      </c>
      <c r="N19" s="320">
        <f>SUM(N17:N18)</f>
        <v>0</v>
      </c>
      <c r="P19" s="114"/>
      <c r="Q19" s="114"/>
      <c r="R19" s="114">
        <f>('Rekap biaya'!O16*50/100)*J17</f>
        <v>3697000</v>
      </c>
      <c r="S19" s="114"/>
      <c r="T19" s="114"/>
      <c r="V19" s="114"/>
      <c r="W19" s="57"/>
      <c r="X19" s="57"/>
      <c r="Y19" s="57"/>
    </row>
    <row r="20" spans="1:25" ht="7.15" customHeight="1" x14ac:dyDescent="0.45">
      <c r="Y20" s="57"/>
    </row>
    <row r="21" spans="1:25" ht="25.5" customHeight="1" x14ac:dyDescent="0.45">
      <c r="B21" s="1" t="s">
        <v>225</v>
      </c>
      <c r="C21" s="493" t="e">
        <v>#NAME?</v>
      </c>
      <c r="D21" s="419"/>
      <c r="E21" s="419"/>
      <c r="F21" s="419"/>
      <c r="G21" s="419"/>
      <c r="H21" s="419"/>
      <c r="I21" s="419"/>
      <c r="J21" s="419"/>
      <c r="K21" s="419"/>
      <c r="L21" s="419"/>
      <c r="M21" s="419"/>
      <c r="P21" s="321">
        <f t="shared" ref="P21:Y21" si="0">SUM(P17:P19)</f>
        <v>11400000</v>
      </c>
      <c r="Q21" s="321">
        <f t="shared" si="0"/>
        <v>21349217.333333328</v>
      </c>
      <c r="R21" s="321">
        <f t="shared" si="0"/>
        <v>35638777.777777776</v>
      </c>
      <c r="S21" s="321">
        <f t="shared" si="0"/>
        <v>1172500</v>
      </c>
      <c r="T21" s="321">
        <f t="shared" si="0"/>
        <v>3697000</v>
      </c>
      <c r="U21" s="321">
        <f t="shared" si="0"/>
        <v>0</v>
      </c>
      <c r="V21" s="321">
        <f t="shared" si="0"/>
        <v>1140000</v>
      </c>
      <c r="W21" s="321">
        <f t="shared" si="0"/>
        <v>0</v>
      </c>
      <c r="X21" s="321">
        <f t="shared" si="0"/>
        <v>1140000</v>
      </c>
      <c r="Y21" s="321">
        <f t="shared" si="0"/>
        <v>0</v>
      </c>
    </row>
    <row r="22" spans="1:25" x14ac:dyDescent="0.45">
      <c r="W22" s="57"/>
      <c r="X22" s="57"/>
      <c r="Y22" s="321"/>
    </row>
    <row r="23" spans="1:25" ht="22.15" customHeight="1" x14ac:dyDescent="0.45">
      <c r="A23" s="502" t="s">
        <v>226</v>
      </c>
      <c r="B23" s="419"/>
      <c r="C23" s="419"/>
      <c r="D23" s="419"/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P23" s="321">
        <f>SUM(P21:Y21)</f>
        <v>75537495.111111104</v>
      </c>
      <c r="Q23" s="59">
        <f>M19-P23</f>
        <v>504.88888889551163</v>
      </c>
      <c r="W23" s="57"/>
      <c r="X23" s="57"/>
      <c r="Y23" s="114"/>
    </row>
    <row r="24" spans="1:25" ht="26.1" customHeight="1" x14ac:dyDescent="0.45">
      <c r="A24" s="479" t="s">
        <v>227</v>
      </c>
      <c r="B24" s="419"/>
      <c r="C24" s="419"/>
      <c r="D24" s="419"/>
      <c r="E24" s="419"/>
      <c r="F24" s="419"/>
      <c r="G24" s="419"/>
      <c r="H24" s="479" t="s">
        <v>228</v>
      </c>
      <c r="I24" s="419"/>
      <c r="J24" s="419"/>
      <c r="K24" s="419"/>
      <c r="L24" s="419"/>
      <c r="M24" s="419"/>
      <c r="N24" s="419"/>
      <c r="P24" s="321">
        <f t="shared" ref="P24:Y24" si="1">ROUNDUP(P21,-1)</f>
        <v>11400000</v>
      </c>
      <c r="Q24" s="321">
        <f t="shared" si="1"/>
        <v>21349220</v>
      </c>
      <c r="R24" s="321">
        <f t="shared" si="1"/>
        <v>35638780</v>
      </c>
      <c r="S24" s="321">
        <f t="shared" si="1"/>
        <v>1172500</v>
      </c>
      <c r="T24" s="321">
        <f t="shared" si="1"/>
        <v>3697000</v>
      </c>
      <c r="U24" s="321">
        <f t="shared" si="1"/>
        <v>0</v>
      </c>
      <c r="V24" s="321">
        <f t="shared" si="1"/>
        <v>1140000</v>
      </c>
      <c r="W24" s="321">
        <f t="shared" si="1"/>
        <v>0</v>
      </c>
      <c r="X24" s="321">
        <f t="shared" si="1"/>
        <v>1140000</v>
      </c>
      <c r="Y24" s="321">
        <f t="shared" si="1"/>
        <v>0</v>
      </c>
    </row>
    <row r="25" spans="1:25" ht="30.4" customHeight="1" x14ac:dyDescent="0.45">
      <c r="C25" s="376" t="s">
        <v>416</v>
      </c>
      <c r="P25" s="321">
        <f>SUM(P24:Y24)</f>
        <v>75537500</v>
      </c>
      <c r="Q25" s="59">
        <f>M19-P25</f>
        <v>500</v>
      </c>
      <c r="W25" s="114">
        <f>SUM(W17:W24)</f>
        <v>0</v>
      </c>
      <c r="X25" s="114">
        <f>SUM(X17:X24)</f>
        <v>3420000</v>
      </c>
    </row>
    <row r="26" spans="1:25" ht="2.65" customHeight="1" x14ac:dyDescent="0.45"/>
    <row r="28" spans="1:25" x14ac:dyDescent="0.45">
      <c r="A28" s="487" t="s">
        <v>229</v>
      </c>
      <c r="B28" s="419"/>
      <c r="C28" s="419"/>
      <c r="D28" s="419"/>
      <c r="E28" s="419"/>
      <c r="F28" s="419"/>
      <c r="G28" s="419"/>
      <c r="H28" s="487" t="s">
        <v>20</v>
      </c>
      <c r="I28" s="419"/>
      <c r="J28" s="419"/>
      <c r="K28" s="419"/>
      <c r="L28" s="419"/>
      <c r="M28" s="419"/>
      <c r="N28" s="419"/>
    </row>
    <row r="29" spans="1:25" ht="22.9" customHeight="1" x14ac:dyDescent="0.45">
      <c r="A29" s="488" t="s">
        <v>230</v>
      </c>
      <c r="B29" s="419"/>
      <c r="C29" s="419"/>
      <c r="D29" s="419"/>
      <c r="E29" s="419"/>
      <c r="F29" s="419"/>
      <c r="G29" s="419"/>
      <c r="H29" s="488" t="s">
        <v>178</v>
      </c>
      <c r="I29" s="419"/>
      <c r="J29" s="419"/>
      <c r="K29" s="419"/>
      <c r="L29" s="419"/>
      <c r="M29" s="419"/>
      <c r="N29" s="419"/>
    </row>
    <row r="30" spans="1:25" hidden="1" x14ac:dyDescent="0.45">
      <c r="L30" s="115" t="s">
        <v>229</v>
      </c>
    </row>
    <row r="31" spans="1:25" ht="13.9" hidden="1" customHeight="1" x14ac:dyDescent="0.45">
      <c r="L31" s="115" t="s">
        <v>231</v>
      </c>
    </row>
    <row r="32" spans="1:25" hidden="1" x14ac:dyDescent="0.45"/>
    <row r="35" spans="1:14" x14ac:dyDescent="0.45">
      <c r="A35" s="479"/>
      <c r="B35" s="419"/>
      <c r="C35" s="419"/>
      <c r="D35" s="419"/>
      <c r="E35" s="419"/>
      <c r="F35" s="419"/>
      <c r="G35" s="419"/>
      <c r="H35" s="479"/>
      <c r="I35" s="419"/>
      <c r="J35" s="419"/>
      <c r="K35" s="419"/>
      <c r="L35" s="419"/>
      <c r="M35" s="419"/>
      <c r="N35" s="419"/>
    </row>
    <row r="36" spans="1:14" hidden="1" x14ac:dyDescent="0.45"/>
    <row r="37" spans="1:14" hidden="1" x14ac:dyDescent="0.45"/>
    <row r="39" spans="1:14" x14ac:dyDescent="0.45">
      <c r="A39" s="487"/>
      <c r="B39" s="419"/>
      <c r="C39" s="419"/>
      <c r="D39" s="419"/>
      <c r="E39" s="419"/>
      <c r="F39" s="419"/>
      <c r="G39" s="419"/>
      <c r="H39" s="487"/>
      <c r="I39" s="419"/>
      <c r="J39" s="419"/>
      <c r="K39" s="419"/>
      <c r="L39" s="419"/>
      <c r="M39" s="419"/>
      <c r="N39" s="419"/>
    </row>
    <row r="40" spans="1:14" x14ac:dyDescent="0.45">
      <c r="A40" s="488"/>
      <c r="B40" s="419"/>
      <c r="C40" s="419"/>
      <c r="D40" s="419"/>
      <c r="E40" s="419"/>
      <c r="F40" s="419"/>
      <c r="G40" s="419"/>
      <c r="H40" s="488"/>
      <c r="I40" s="419"/>
      <c r="J40" s="419"/>
      <c r="K40" s="419"/>
      <c r="L40" s="419"/>
      <c r="M40" s="419"/>
      <c r="N40" s="419"/>
    </row>
  </sheetData>
  <mergeCells count="50">
    <mergeCell ref="A2:N2"/>
    <mergeCell ref="C11:G11"/>
    <mergeCell ref="H39:N39"/>
    <mergeCell ref="H8:J8"/>
    <mergeCell ref="K11:N11"/>
    <mergeCell ref="A23:N23"/>
    <mergeCell ref="C8:G8"/>
    <mergeCell ref="A8:B8"/>
    <mergeCell ref="D14:D15"/>
    <mergeCell ref="H10:J10"/>
    <mergeCell ref="A10:B10"/>
    <mergeCell ref="K12:N12"/>
    <mergeCell ref="K8:N8"/>
    <mergeCell ref="H9:J9"/>
    <mergeCell ref="A9:B9"/>
    <mergeCell ref="C14:C15"/>
    <mergeCell ref="V14:Y14"/>
    <mergeCell ref="A3:N3"/>
    <mergeCell ref="C12:G12"/>
    <mergeCell ref="M14:M15"/>
    <mergeCell ref="H40:N40"/>
    <mergeCell ref="C21:M21"/>
    <mergeCell ref="E14:E15"/>
    <mergeCell ref="K9:N9"/>
    <mergeCell ref="C9:G9"/>
    <mergeCell ref="A14:A15"/>
    <mergeCell ref="T14:T16"/>
    <mergeCell ref="A12:B12"/>
    <mergeCell ref="A40:G40"/>
    <mergeCell ref="N14:N15"/>
    <mergeCell ref="P14:S14"/>
    <mergeCell ref="C10:G10"/>
    <mergeCell ref="A39:G39"/>
    <mergeCell ref="H35:N35"/>
    <mergeCell ref="A24:G24"/>
    <mergeCell ref="H29:N29"/>
    <mergeCell ref="H12:J12"/>
    <mergeCell ref="H28:N28"/>
    <mergeCell ref="A35:G35"/>
    <mergeCell ref="A29:G29"/>
    <mergeCell ref="A28:G28"/>
    <mergeCell ref="K10:N10"/>
    <mergeCell ref="H24:N24"/>
    <mergeCell ref="A19:G19"/>
    <mergeCell ref="H11:J11"/>
    <mergeCell ref="B14:B15"/>
    <mergeCell ref="F14:I14"/>
    <mergeCell ref="L14:L15"/>
    <mergeCell ref="J14:K14"/>
    <mergeCell ref="A11:B11"/>
  </mergeCells>
  <dataValidations count="3">
    <dataValidation type="list" allowBlank="1" showInputMessage="1" showErrorMessage="1" sqref="A28:G28 H39:N39" xr:uid="{00000000-0002-0000-0500-000000000000}">
      <formula1>$L$30:$L$31</formula1>
    </dataValidation>
    <dataValidation type="list" allowBlank="1" sqref="E18" xr:uid="{00000000-0002-0000-0500-000001000000}">
      <formula1>"Unit,Paket,Pcs,Ls,Set,Jam,Hari,Bulan,Tahun,Kg,Meter"</formula1>
    </dataValidation>
    <dataValidation allowBlank="1" showInputMessage="1" showErrorMessage="1" sqref="J17:J18" xr:uid="{00000000-0002-0000-0500-000002000000}"/>
  </dataValidations>
  <printOptions horizontalCentered="1"/>
  <pageMargins left="0.15748031496062989" right="7.874015748031496E-2" top="0.19685039370078741" bottom="0.19685039370078741" header="0.51181102362204722" footer="0.51181102362204722"/>
  <pageSetup paperSize="9" scale="79" fitToHeight="0"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put Tidak Valid" error="Silakan pilih kategori dari list" promptTitle="Kategori" prompt="Pilih kategori dari dropdown" xr:uid="{00000000-0002-0000-0500-000003000000}">
          <x14:formula1>
            <xm:f>Helper!$A$1:$A$4</xm:f>
          </x14:formula1>
          <xm:sqref>B17</xm:sqref>
        </x14:dataValidation>
        <x14:dataValidation type="list" allowBlank="1" errorTitle="Input Tidak Valid" error="Silakan pilih deskripsi dari list" promptTitle="Deskripsi" prompt="Pilih deskripsi sesuai kategori" xr:uid="{00000000-0002-0000-0500-000004000000}">
          <x14:formula1>
            <xm:f>OFFSET(Helper!$B$1,0,MATCH(B17,Helper!$A:$A,0)-1,COUNTA(OFFSET(Helper!$B$1,0,MATCH(B17,Helper!$A:$A,0)-1,1000,1)),1)</xm:f>
          </x14:formula1>
          <xm:sqref>C17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2:I49"/>
  <sheetViews>
    <sheetView showGridLines="0" workbookViewId="0">
      <selection activeCell="D15" sqref="D15:I15"/>
    </sheetView>
  </sheetViews>
  <sheetFormatPr defaultRowHeight="14.25" x14ac:dyDescent="0.45"/>
  <cols>
    <col min="1" max="1" width="4.86328125" customWidth="1"/>
    <col min="2" max="2" width="14.33203125" customWidth="1"/>
    <col min="3" max="3" width="14.6640625" customWidth="1"/>
    <col min="4" max="4" width="8" customWidth="1"/>
    <col min="5" max="5" width="14.53125" customWidth="1"/>
    <col min="6" max="6" width="13.796875" customWidth="1"/>
    <col min="7" max="7" width="15" customWidth="1"/>
    <col min="8" max="8" width="9.265625" customWidth="1"/>
    <col min="9" max="9" width="14.6640625" customWidth="1"/>
  </cols>
  <sheetData>
    <row r="2" spans="1:9" ht="10.050000000000001" customHeight="1" x14ac:dyDescent="0.45"/>
    <row r="3" spans="1:9" ht="12" customHeight="1" x14ac:dyDescent="0.45">
      <c r="A3" s="507" t="s">
        <v>232</v>
      </c>
      <c r="B3" s="419"/>
      <c r="C3" s="419"/>
      <c r="D3" s="419"/>
      <c r="E3" s="419"/>
      <c r="F3" s="419"/>
      <c r="G3" s="419"/>
      <c r="H3" s="419"/>
      <c r="I3" s="419"/>
    </row>
    <row r="4" spans="1:9" ht="12" customHeight="1" x14ac:dyDescent="0.45">
      <c r="A4" s="509" t="s">
        <v>233</v>
      </c>
      <c r="B4" s="419"/>
      <c r="C4" s="419"/>
      <c r="D4" s="419"/>
      <c r="E4" s="419"/>
      <c r="F4" s="419"/>
      <c r="G4" s="419"/>
      <c r="H4" s="419"/>
      <c r="I4" s="419"/>
    </row>
    <row r="5" spans="1:9" ht="12" customHeight="1" x14ac:dyDescent="0.45">
      <c r="A5" s="419"/>
      <c r="B5" s="419"/>
      <c r="C5" s="419"/>
      <c r="D5" s="419"/>
      <c r="E5" s="419"/>
      <c r="F5" s="419"/>
      <c r="G5" s="419"/>
      <c r="H5" s="419"/>
      <c r="I5" s="419"/>
    </row>
    <row r="6" spans="1:9" ht="12" customHeight="1" x14ac:dyDescent="0.45">
      <c r="A6" s="50"/>
      <c r="B6" s="50"/>
      <c r="C6" s="50"/>
      <c r="D6" s="50"/>
      <c r="E6" s="50"/>
      <c r="F6" s="50"/>
      <c r="G6" s="50"/>
      <c r="H6" s="50"/>
      <c r="I6" s="50"/>
    </row>
    <row r="7" spans="1:9" ht="12" customHeight="1" x14ac:dyDescent="0.45">
      <c r="A7" s="50"/>
      <c r="B7" s="50"/>
      <c r="C7" s="50"/>
      <c r="D7" s="50"/>
      <c r="E7" s="50"/>
      <c r="F7" s="50"/>
      <c r="G7" s="50"/>
      <c r="H7" s="50"/>
      <c r="I7" s="50"/>
    </row>
    <row r="8" spans="1:9" ht="24" customHeight="1" x14ac:dyDescent="0.45">
      <c r="A8" s="510" t="s">
        <v>234</v>
      </c>
      <c r="B8" s="419"/>
      <c r="C8" s="419"/>
      <c r="D8" s="419"/>
      <c r="E8" s="419"/>
      <c r="F8" s="419"/>
      <c r="G8" s="419"/>
      <c r="H8" s="419"/>
      <c r="I8" s="419"/>
    </row>
    <row r="9" spans="1:9" ht="18" customHeight="1" x14ac:dyDescent="0.45">
      <c r="A9" s="511" t="s">
        <v>235</v>
      </c>
      <c r="B9" s="419"/>
      <c r="C9" s="419"/>
      <c r="D9" s="419"/>
      <c r="E9" s="419"/>
      <c r="F9" s="419"/>
      <c r="G9" s="419"/>
      <c r="H9" s="419"/>
      <c r="I9" s="419"/>
    </row>
    <row r="10" spans="1:9" ht="10.050000000000001" customHeight="1" x14ac:dyDescent="0.45"/>
    <row r="11" spans="1:9" ht="20" customHeight="1" x14ac:dyDescent="0.45">
      <c r="B11" s="508" t="s">
        <v>184</v>
      </c>
      <c r="C11" s="419"/>
      <c r="D11" s="504" t="str">
        <f>Input!D6</f>
        <v>7207250142</v>
      </c>
      <c r="E11" s="419"/>
      <c r="F11" s="419"/>
      <c r="G11" s="419"/>
      <c r="H11" s="419"/>
      <c r="I11" s="419"/>
    </row>
    <row r="12" spans="1:9" ht="20" customHeight="1" x14ac:dyDescent="0.45">
      <c r="B12" s="508" t="s">
        <v>236</v>
      </c>
      <c r="C12" s="419"/>
      <c r="D12" s="513" t="str">
        <f>Input!D8</f>
        <v>Jasa Sewa Alat Berat Pendukung Operasional Senoro dan Tiaka</v>
      </c>
      <c r="E12" s="419"/>
      <c r="F12" s="419"/>
      <c r="G12" s="419"/>
      <c r="H12" s="419"/>
      <c r="I12" s="419"/>
    </row>
    <row r="13" spans="1:9" ht="9" customHeight="1" x14ac:dyDescent="0.45">
      <c r="B13" s="508"/>
      <c r="C13" s="419"/>
      <c r="D13" s="419"/>
      <c r="E13" s="419"/>
      <c r="F13" s="419"/>
      <c r="G13" s="419"/>
      <c r="H13" s="419"/>
      <c r="I13" s="419"/>
    </row>
    <row r="14" spans="1:9" ht="20" customHeight="1" x14ac:dyDescent="0.45">
      <c r="B14" s="508" t="s">
        <v>185</v>
      </c>
      <c r="C14" s="419"/>
      <c r="D14" s="504">
        <f>Input!D13</f>
        <v>4500011424</v>
      </c>
      <c r="E14" s="419"/>
      <c r="F14" s="419"/>
      <c r="G14" s="419"/>
      <c r="H14" s="419"/>
      <c r="I14" s="419"/>
    </row>
    <row r="15" spans="1:9" ht="20" customHeight="1" x14ac:dyDescent="0.45">
      <c r="B15" s="508" t="s">
        <v>237</v>
      </c>
      <c r="C15" s="419"/>
      <c r="D15" s="524" t="str">
        <f>Input!D20</f>
        <v>PT Banggai Sentral Sulawesi</v>
      </c>
      <c r="E15" s="419"/>
      <c r="F15" s="419"/>
      <c r="G15" s="419"/>
      <c r="H15" s="419"/>
      <c r="I15" s="419"/>
    </row>
    <row r="16" spans="1:9" ht="12" customHeight="1" thickBot="1" x14ac:dyDescent="0.5"/>
    <row r="17" spans="1:9" ht="24" customHeight="1" x14ac:dyDescent="0.45">
      <c r="A17" s="505" t="s">
        <v>238</v>
      </c>
      <c r="B17" s="518"/>
      <c r="C17" s="519"/>
      <c r="D17" s="505" t="s">
        <v>239</v>
      </c>
      <c r="E17" s="505" t="s">
        <v>240</v>
      </c>
      <c r="F17" s="516"/>
      <c r="G17" s="517"/>
      <c r="H17" s="505" t="s">
        <v>241</v>
      </c>
      <c r="I17" s="517"/>
    </row>
    <row r="18" spans="1:9" ht="22.05" customHeight="1" x14ac:dyDescent="0.45">
      <c r="A18" s="520"/>
      <c r="B18" s="521"/>
      <c r="C18" s="522"/>
      <c r="D18" s="506"/>
      <c r="E18" s="355" t="s">
        <v>242</v>
      </c>
      <c r="F18" s="355" t="s">
        <v>243</v>
      </c>
      <c r="G18" s="355" t="s">
        <v>175</v>
      </c>
      <c r="H18" s="355" t="s">
        <v>244</v>
      </c>
      <c r="I18" s="355" t="s">
        <v>245</v>
      </c>
    </row>
    <row r="19" spans="1:9" ht="18" customHeight="1" x14ac:dyDescent="0.45">
      <c r="A19" s="15"/>
      <c r="B19" s="15" t="s">
        <v>134</v>
      </c>
      <c r="C19" s="15"/>
      <c r="D19" s="15"/>
      <c r="E19" s="15" t="s">
        <v>135</v>
      </c>
      <c r="F19" s="15" t="s">
        <v>136</v>
      </c>
      <c r="G19" s="15" t="s">
        <v>246</v>
      </c>
      <c r="H19" s="15" t="s">
        <v>247</v>
      </c>
      <c r="I19" s="15" t="s">
        <v>248</v>
      </c>
    </row>
    <row r="20" spans="1:9" ht="20" customHeight="1" x14ac:dyDescent="0.45">
      <c r="A20" s="16" t="s">
        <v>249</v>
      </c>
      <c r="B20" s="17" t="s">
        <v>205</v>
      </c>
      <c r="C20" s="17"/>
      <c r="D20" s="16" t="s">
        <v>250</v>
      </c>
      <c r="E20" s="18">
        <f>'Rincian Pek'!P24</f>
        <v>11400000</v>
      </c>
      <c r="F20" s="18">
        <f>'Rincian Pek'!V24</f>
        <v>1140000</v>
      </c>
      <c r="G20" s="19">
        <f t="shared" ref="G20:G27" si="0">SUM(E20:F20)</f>
        <v>12540000</v>
      </c>
      <c r="H20" s="20">
        <f t="shared" ref="H20:H29" si="1">IF(G20&gt;0, E20/G20, 0)</f>
        <v>0.90909090909090906</v>
      </c>
      <c r="I20" s="19">
        <f t="shared" ref="I20:I29" si="2">G20*H20</f>
        <v>11400000</v>
      </c>
    </row>
    <row r="21" spans="1:9" ht="18" customHeight="1" x14ac:dyDescent="0.45">
      <c r="A21" s="21"/>
      <c r="B21" s="22" t="s">
        <v>251</v>
      </c>
      <c r="C21" s="22"/>
      <c r="D21" s="23" t="s">
        <v>252</v>
      </c>
      <c r="E21" s="18"/>
      <c r="F21" s="18"/>
      <c r="G21" s="24">
        <f t="shared" si="0"/>
        <v>0</v>
      </c>
      <c r="H21" s="25">
        <f t="shared" si="1"/>
        <v>0</v>
      </c>
      <c r="I21" s="24">
        <f t="shared" si="2"/>
        <v>0</v>
      </c>
    </row>
    <row r="22" spans="1:9" ht="20" customHeight="1" x14ac:dyDescent="0.45">
      <c r="A22" s="16" t="s">
        <v>253</v>
      </c>
      <c r="B22" s="17" t="s">
        <v>206</v>
      </c>
      <c r="C22" s="17"/>
      <c r="D22" s="16" t="s">
        <v>250</v>
      </c>
      <c r="E22" s="18">
        <f>'Rincian Pek'!Q24</f>
        <v>21349220</v>
      </c>
      <c r="F22" s="18">
        <f>'Rincian Pek'!W24</f>
        <v>0</v>
      </c>
      <c r="G22" s="19">
        <f t="shared" si="0"/>
        <v>21349220</v>
      </c>
      <c r="H22" s="20">
        <f t="shared" si="1"/>
        <v>1</v>
      </c>
      <c r="I22" s="19">
        <f t="shared" si="2"/>
        <v>21349220</v>
      </c>
    </row>
    <row r="23" spans="1:9" ht="18" customHeight="1" x14ac:dyDescent="0.45">
      <c r="A23" s="21"/>
      <c r="B23" s="22" t="s">
        <v>254</v>
      </c>
      <c r="C23" s="22"/>
      <c r="D23" s="23" t="s">
        <v>252</v>
      </c>
      <c r="E23" s="18"/>
      <c r="F23" s="18"/>
      <c r="G23" s="24">
        <f t="shared" si="0"/>
        <v>0</v>
      </c>
      <c r="H23" s="25">
        <f t="shared" si="1"/>
        <v>0</v>
      </c>
      <c r="I23" s="24">
        <f t="shared" si="2"/>
        <v>0</v>
      </c>
    </row>
    <row r="24" spans="1:9" ht="20" customHeight="1" x14ac:dyDescent="0.45">
      <c r="A24" s="16" t="s">
        <v>255</v>
      </c>
      <c r="B24" s="17" t="s">
        <v>256</v>
      </c>
      <c r="C24" s="17"/>
      <c r="D24" s="16" t="s">
        <v>250</v>
      </c>
      <c r="E24" s="18">
        <f>'Rincian Pek'!R24</f>
        <v>35638780</v>
      </c>
      <c r="F24" s="18">
        <f>'Rincian Pek'!X24</f>
        <v>1140000</v>
      </c>
      <c r="G24" s="19">
        <f t="shared" si="0"/>
        <v>36778780</v>
      </c>
      <c r="H24" s="20">
        <f t="shared" si="1"/>
        <v>0.96900386581610376</v>
      </c>
      <c r="I24" s="19">
        <f t="shared" si="2"/>
        <v>35638780</v>
      </c>
    </row>
    <row r="25" spans="1:9" ht="18" customHeight="1" x14ac:dyDescent="0.45">
      <c r="A25" s="21"/>
      <c r="B25" s="22" t="s">
        <v>257</v>
      </c>
      <c r="C25" s="22"/>
      <c r="D25" s="23" t="s">
        <v>252</v>
      </c>
      <c r="E25" s="18"/>
      <c r="F25" s="18"/>
      <c r="G25" s="24">
        <f t="shared" si="0"/>
        <v>0</v>
      </c>
      <c r="H25" s="25">
        <f t="shared" si="1"/>
        <v>0</v>
      </c>
      <c r="I25" s="24">
        <f t="shared" si="2"/>
        <v>0</v>
      </c>
    </row>
    <row r="26" spans="1:9" ht="20" customHeight="1" x14ac:dyDescent="0.45">
      <c r="A26" s="16" t="s">
        <v>258</v>
      </c>
      <c r="B26" s="17" t="s">
        <v>208</v>
      </c>
      <c r="C26" s="17"/>
      <c r="D26" s="16" t="s">
        <v>250</v>
      </c>
      <c r="E26" s="18">
        <f>'Rincian Pek'!S24</f>
        <v>1172500</v>
      </c>
      <c r="F26" s="18">
        <f>'Rincian Pek'!Y22</f>
        <v>0</v>
      </c>
      <c r="G26" s="19">
        <f t="shared" si="0"/>
        <v>1172500</v>
      </c>
      <c r="H26" s="20">
        <f t="shared" si="1"/>
        <v>1</v>
      </c>
      <c r="I26" s="19">
        <f t="shared" si="2"/>
        <v>1172500</v>
      </c>
    </row>
    <row r="27" spans="1:9" ht="18" customHeight="1" x14ac:dyDescent="0.45">
      <c r="A27" s="21"/>
      <c r="B27" s="22" t="s">
        <v>259</v>
      </c>
      <c r="C27" s="22"/>
      <c r="D27" s="23" t="s">
        <v>252</v>
      </c>
      <c r="E27" s="18"/>
      <c r="F27" s="18"/>
      <c r="G27" s="24">
        <f t="shared" si="0"/>
        <v>0</v>
      </c>
      <c r="H27" s="25">
        <f t="shared" si="1"/>
        <v>0</v>
      </c>
      <c r="I27" s="24">
        <f t="shared" si="2"/>
        <v>0</v>
      </c>
    </row>
    <row r="28" spans="1:9" ht="22.05" customHeight="1" x14ac:dyDescent="0.45">
      <c r="A28" s="26" t="s">
        <v>260</v>
      </c>
      <c r="B28" s="27" t="s">
        <v>261</v>
      </c>
      <c r="C28" s="27"/>
      <c r="D28" s="26" t="s">
        <v>250</v>
      </c>
      <c r="E28" s="28">
        <f t="shared" ref="E28:G29" si="3">SUM(E20,E22,E24,E26)</f>
        <v>69560500</v>
      </c>
      <c r="F28" s="28">
        <f t="shared" si="3"/>
        <v>2280000</v>
      </c>
      <c r="G28" s="28">
        <f t="shared" si="3"/>
        <v>71840500</v>
      </c>
      <c r="H28" s="29">
        <f t="shared" si="1"/>
        <v>0.96826302712258405</v>
      </c>
      <c r="I28" s="28">
        <f t="shared" si="2"/>
        <v>69560500</v>
      </c>
    </row>
    <row r="29" spans="1:9" ht="20" customHeight="1" thickBot="1" x14ac:dyDescent="0.5">
      <c r="A29" s="30"/>
      <c r="B29" s="31" t="s">
        <v>262</v>
      </c>
      <c r="C29" s="31"/>
      <c r="D29" s="32" t="s">
        <v>252</v>
      </c>
      <c r="E29" s="33">
        <f t="shared" si="3"/>
        <v>0</v>
      </c>
      <c r="F29" s="33">
        <f t="shared" si="3"/>
        <v>0</v>
      </c>
      <c r="G29" s="33">
        <f t="shared" si="3"/>
        <v>0</v>
      </c>
      <c r="H29" s="34">
        <f t="shared" si="1"/>
        <v>0</v>
      </c>
      <c r="I29" s="33">
        <f t="shared" si="2"/>
        <v>0</v>
      </c>
    </row>
    <row r="30" spans="1:9" ht="22.05" customHeight="1" x14ac:dyDescent="0.45">
      <c r="A30" s="16" t="s">
        <v>263</v>
      </c>
      <c r="B30" s="17" t="s">
        <v>201</v>
      </c>
      <c r="C30" s="17"/>
      <c r="D30" s="16" t="s">
        <v>250</v>
      </c>
      <c r="E30" s="35"/>
      <c r="F30" s="35"/>
      <c r="G30" s="36">
        <f>'Rincian Pek'!T24+'Rincian Pek'!Q25</f>
        <v>3697500</v>
      </c>
      <c r="H30" s="35"/>
      <c r="I30" s="35"/>
    </row>
    <row r="31" spans="1:9" ht="20" customHeight="1" x14ac:dyDescent="0.45">
      <c r="A31" s="35"/>
      <c r="B31" s="37" t="s">
        <v>264</v>
      </c>
      <c r="C31" s="37"/>
      <c r="D31" s="38" t="s">
        <v>252</v>
      </c>
      <c r="E31" s="35"/>
      <c r="F31" s="35"/>
      <c r="G31" s="35"/>
      <c r="H31" s="35"/>
      <c r="I31" s="35"/>
    </row>
    <row r="32" spans="1:9" ht="24" customHeight="1" x14ac:dyDescent="0.45">
      <c r="A32" s="39" t="s">
        <v>265</v>
      </c>
      <c r="B32" s="40" t="s">
        <v>266</v>
      </c>
      <c r="C32" s="40"/>
      <c r="D32" s="41" t="s">
        <v>250</v>
      </c>
      <c r="E32" s="42"/>
      <c r="F32" s="42"/>
      <c r="G32" s="43">
        <f>G28+G30</f>
        <v>75538000</v>
      </c>
      <c r="H32" s="42"/>
      <c r="I32" s="42"/>
    </row>
    <row r="33" spans="1:9" ht="20" customHeight="1" thickBot="1" x14ac:dyDescent="0.5">
      <c r="A33" s="44"/>
      <c r="B33" s="45" t="s">
        <v>267</v>
      </c>
      <c r="C33" s="45"/>
      <c r="D33" s="46" t="s">
        <v>252</v>
      </c>
      <c r="E33" s="44"/>
      <c r="F33" s="44"/>
      <c r="G33" s="47">
        <f>G29+G31</f>
        <v>0</v>
      </c>
      <c r="H33" s="44"/>
      <c r="I33" s="44"/>
    </row>
    <row r="34" spans="1:9" ht="15" customHeight="1" thickTop="1" x14ac:dyDescent="0.45">
      <c r="G34" s="59">
        <f>G32-'Rincian Pek'!M19</f>
        <v>0</v>
      </c>
    </row>
    <row r="35" spans="1:9" ht="18" customHeight="1" x14ac:dyDescent="0.55000000000000004">
      <c r="B35" s="48" t="s">
        <v>268</v>
      </c>
      <c r="C35" s="48"/>
    </row>
    <row r="36" spans="1:9" ht="18" customHeight="1" x14ac:dyDescent="0.55000000000000004">
      <c r="B36" s="49" t="s">
        <v>269</v>
      </c>
      <c r="C36" s="49"/>
    </row>
    <row r="37" spans="1:9" ht="18" customHeight="1" x14ac:dyDescent="0.55000000000000004">
      <c r="B37" s="49" t="s">
        <v>270</v>
      </c>
      <c r="C37" s="49"/>
    </row>
    <row r="38" spans="1:9" ht="15" customHeight="1" x14ac:dyDescent="0.45"/>
    <row r="39" spans="1:9" ht="20" customHeight="1" x14ac:dyDescent="0.45">
      <c r="G39" s="515" t="s">
        <v>271</v>
      </c>
      <c r="H39" s="419"/>
      <c r="I39" s="419"/>
    </row>
    <row r="40" spans="1:9" ht="20" customHeight="1" x14ac:dyDescent="0.45">
      <c r="G40" s="523" t="s">
        <v>272</v>
      </c>
      <c r="H40" s="419"/>
      <c r="I40" s="419"/>
    </row>
    <row r="41" spans="1:9" ht="18" customHeight="1" x14ac:dyDescent="0.45"/>
    <row r="42" spans="1:9" ht="18" customHeight="1" x14ac:dyDescent="0.45"/>
    <row r="43" spans="1:9" ht="18" customHeight="1" x14ac:dyDescent="0.45"/>
    <row r="44" spans="1:9" ht="18" customHeight="1" x14ac:dyDescent="0.45"/>
    <row r="45" spans="1:9" ht="22.05" customHeight="1" x14ac:dyDescent="0.45">
      <c r="G45" s="514" t="s">
        <v>108</v>
      </c>
      <c r="H45" s="419"/>
      <c r="I45" s="419"/>
    </row>
    <row r="46" spans="1:9" ht="20" customHeight="1" x14ac:dyDescent="0.45">
      <c r="G46" s="515" t="s">
        <v>273</v>
      </c>
      <c r="H46" s="419"/>
      <c r="I46" s="419"/>
    </row>
    <row r="48" spans="1:9" x14ac:dyDescent="0.45">
      <c r="A48" s="512" t="s">
        <v>274</v>
      </c>
      <c r="B48" s="419"/>
      <c r="C48" s="419"/>
      <c r="D48" s="419"/>
      <c r="E48" s="419"/>
      <c r="F48" s="419"/>
      <c r="G48" s="419"/>
      <c r="H48" s="419"/>
      <c r="I48" s="419"/>
    </row>
    <row r="49" spans="1:9" x14ac:dyDescent="0.45">
      <c r="A49" s="512" t="s">
        <v>275</v>
      </c>
      <c r="B49" s="419"/>
      <c r="C49" s="419"/>
      <c r="D49" s="419"/>
      <c r="E49" s="419"/>
      <c r="F49" s="419"/>
      <c r="G49" s="419"/>
      <c r="H49" s="419"/>
      <c r="I49" s="419"/>
    </row>
  </sheetData>
  <mergeCells count="23">
    <mergeCell ref="A48:I48"/>
    <mergeCell ref="D12:I13"/>
    <mergeCell ref="G45:I45"/>
    <mergeCell ref="B14:C14"/>
    <mergeCell ref="A49:I49"/>
    <mergeCell ref="B15:C15"/>
    <mergeCell ref="G39:I39"/>
    <mergeCell ref="E17:G17"/>
    <mergeCell ref="A17:C18"/>
    <mergeCell ref="G46:I46"/>
    <mergeCell ref="G40:I40"/>
    <mergeCell ref="H17:I17"/>
    <mergeCell ref="B13:C13"/>
    <mergeCell ref="D15:I15"/>
    <mergeCell ref="D14:I14"/>
    <mergeCell ref="D11:I11"/>
    <mergeCell ref="D17:D18"/>
    <mergeCell ref="A3:I3"/>
    <mergeCell ref="B12:C12"/>
    <mergeCell ref="B11:C11"/>
    <mergeCell ref="A4:I5"/>
    <mergeCell ref="A8:I8"/>
    <mergeCell ref="A9:I9"/>
  </mergeCells>
  <printOptions horizontalCentered="1"/>
  <pageMargins left="0.35433070866141742" right="0.15748031496062989" top="0.19685039370078741" bottom="0.39370078740157483" header="0.51181102362204722" footer="0.51181102362204722"/>
  <pageSetup paperSize="9" scale="91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V61"/>
  <sheetViews>
    <sheetView showGridLines="0" topLeftCell="A26" workbookViewId="0">
      <selection activeCell="C22" sqref="C22"/>
    </sheetView>
  </sheetViews>
  <sheetFormatPr defaultRowHeight="14.25" x14ac:dyDescent="0.45"/>
  <cols>
    <col min="1" max="1" width="6" customWidth="1"/>
    <col min="2" max="2" width="20" customWidth="1"/>
    <col min="3" max="3" width="25.3984375" customWidth="1"/>
    <col min="4" max="4" width="8.06640625" customWidth="1"/>
    <col min="5" max="5" width="9.6640625" customWidth="1"/>
    <col min="6" max="7" width="12" customWidth="1"/>
    <col min="8" max="8" width="17.796875" customWidth="1"/>
    <col min="9" max="9" width="2.19921875" customWidth="1"/>
    <col min="10" max="10" width="2.46484375" customWidth="1"/>
    <col min="11" max="11" width="17.73046875" customWidth="1"/>
    <col min="12" max="12" width="9.06640625" customWidth="1"/>
    <col min="13" max="13" width="11.796875" customWidth="1"/>
    <col min="14" max="14" width="10" customWidth="1"/>
    <col min="15" max="15" width="10.46484375" customWidth="1"/>
    <col min="16" max="16" width="13.73046875" customWidth="1"/>
    <col min="17" max="20" width="9.06640625" customWidth="1"/>
  </cols>
  <sheetData>
    <row r="1" spans="1:22" ht="15" customHeight="1" x14ac:dyDescent="0.45"/>
    <row r="2" spans="1:22" ht="40.15" customHeight="1" thickBot="1" x14ac:dyDescent="0.5">
      <c r="A2" s="542" t="s">
        <v>276</v>
      </c>
      <c r="B2" s="419"/>
      <c r="C2" s="419"/>
      <c r="D2" s="419"/>
      <c r="E2" s="419"/>
      <c r="F2" s="419"/>
      <c r="G2" s="419"/>
      <c r="H2" s="419"/>
    </row>
    <row r="3" spans="1:22" ht="3.4" customHeight="1" thickBot="1" x14ac:dyDescent="0.5">
      <c r="A3" s="213"/>
      <c r="B3" s="213"/>
      <c r="C3" s="213"/>
      <c r="D3" s="213"/>
      <c r="E3" s="213"/>
      <c r="F3" s="213"/>
      <c r="G3" s="213"/>
      <c r="H3" s="213"/>
    </row>
    <row r="4" spans="1:22" ht="10.5" customHeight="1" thickTop="1" x14ac:dyDescent="0.45">
      <c r="A4" s="211"/>
      <c r="B4" s="211"/>
      <c r="C4" s="211"/>
      <c r="D4" s="211"/>
      <c r="E4" s="211"/>
      <c r="F4" s="211"/>
      <c r="G4" s="211"/>
      <c r="H4" s="211"/>
    </row>
    <row r="5" spans="1:22" ht="8.65" customHeight="1" x14ac:dyDescent="0.45">
      <c r="A5" s="211"/>
      <c r="B5" s="211"/>
      <c r="C5" s="211"/>
      <c r="D5" s="211"/>
      <c r="E5" s="211"/>
      <c r="F5" s="211"/>
      <c r="G5" s="211"/>
      <c r="H5" s="211"/>
    </row>
    <row r="6" spans="1:22" ht="24" customHeight="1" x14ac:dyDescent="0.45">
      <c r="A6" s="530" t="str">
        <f>$O$6</f>
        <v>Pada hari ini  Rabu tanggal 1 bulan July tahun 2026 yang bertanda tangan di bawah ini:</v>
      </c>
      <c r="B6" s="419"/>
      <c r="C6" s="419"/>
      <c r="D6" s="419"/>
      <c r="E6" s="419"/>
      <c r="F6" s="419"/>
      <c r="G6" s="419"/>
      <c r="H6" s="419"/>
      <c r="K6" s="6"/>
      <c r="M6" s="7"/>
      <c r="N6" s="8"/>
      <c r="O6" s="5" t="str">
        <f>CONCATENATE(O8, " ",P8, " ",O9, " ",P9, " ",O10, " ",P10, " ",O11, " ",P11, " ",O12)</f>
        <v>Pada hari ini  Rabu tanggal 1 bulan July tahun 2026 yang bertanda tangan di bawah ini:</v>
      </c>
    </row>
    <row r="7" spans="1:22" ht="4.1500000000000004" customHeight="1" x14ac:dyDescent="0.45">
      <c r="K7" s="9"/>
      <c r="M7" s="10"/>
      <c r="N7" s="10"/>
    </row>
    <row r="8" spans="1:22" ht="24" customHeight="1" x14ac:dyDescent="0.45">
      <c r="A8" s="545" t="s">
        <v>277</v>
      </c>
      <c r="B8" s="546"/>
      <c r="C8" s="546"/>
      <c r="D8" s="546"/>
      <c r="E8" s="546"/>
      <c r="F8" s="546"/>
      <c r="G8" s="546"/>
      <c r="H8" s="547"/>
      <c r="K8" s="6" t="s">
        <v>278</v>
      </c>
      <c r="M8" s="7" t="s">
        <v>279</v>
      </c>
      <c r="N8" s="8"/>
      <c r="O8" s="5" t="s">
        <v>280</v>
      </c>
      <c r="P8" s="5" t="str">
        <f>$N$9</f>
        <v>Rabu</v>
      </c>
      <c r="Q8" s="5"/>
      <c r="R8" s="5"/>
      <c r="S8" s="5"/>
    </row>
    <row r="9" spans="1:22" ht="13.05" customHeight="1" x14ac:dyDescent="0.45">
      <c r="B9" s="11" t="s">
        <v>281</v>
      </c>
      <c r="C9" s="526" t="str">
        <f>Input!D16</f>
        <v>JOB Pertamina - Medco E&amp;P Tomori Sulawesi</v>
      </c>
      <c r="D9" s="419"/>
      <c r="E9" s="419"/>
      <c r="F9" s="419"/>
      <c r="G9" s="419"/>
      <c r="H9" s="419"/>
      <c r="K9" s="9">
        <v>46204</v>
      </c>
      <c r="L9">
        <v>1</v>
      </c>
      <c r="M9" s="10" t="str">
        <f>TEXT(K9,"dddd")</f>
        <v>Wednesday</v>
      </c>
      <c r="N9" s="10" t="str">
        <f>VLOOKUP(M9,$M$10:$N$16,2,0)</f>
        <v>Rabu</v>
      </c>
      <c r="O9" s="5" t="s">
        <v>282</v>
      </c>
      <c r="P9" s="4">
        <f>DAY(K9)</f>
        <v>1</v>
      </c>
    </row>
    <row r="10" spans="1:22" ht="19.5" customHeight="1" x14ac:dyDescent="0.45">
      <c r="B10" s="12" t="s">
        <v>283</v>
      </c>
      <c r="C10" s="525" t="str">
        <f>Input!D17</f>
        <v>Bidakara Office Tower I 4Th Floor, Jl. Gatot Subroto Kav. 71 - 73, Jakarta 12870, Indonesia</v>
      </c>
      <c r="D10" s="419"/>
      <c r="E10" s="419"/>
      <c r="F10" s="419"/>
      <c r="G10" s="419"/>
      <c r="H10" s="419"/>
      <c r="K10" s="206" t="s">
        <v>284</v>
      </c>
      <c r="L10">
        <v>2</v>
      </c>
      <c r="M10" s="13" t="s">
        <v>285</v>
      </c>
      <c r="N10" s="13" t="s">
        <v>286</v>
      </c>
      <c r="O10" s="5" t="s">
        <v>287</v>
      </c>
      <c r="P10" s="4" t="str">
        <f>TEXT(K9,"MMMM")</f>
        <v>July</v>
      </c>
    </row>
    <row r="11" spans="1:22" ht="13.05" customHeight="1" x14ac:dyDescent="0.45">
      <c r="B11" s="12" t="s">
        <v>288</v>
      </c>
      <c r="C11" s="530" t="str">
        <f>Input!D18</f>
        <v>Ronny Dwi Purnomo / Rafik Hidayat</v>
      </c>
      <c r="D11" s="419"/>
      <c r="E11" s="419"/>
      <c r="F11" s="419"/>
      <c r="G11" s="419"/>
      <c r="H11" s="419"/>
      <c r="K11" s="207" t="s">
        <v>289</v>
      </c>
      <c r="L11" s="207">
        <v>3</v>
      </c>
      <c r="M11" s="208" t="s">
        <v>290</v>
      </c>
      <c r="N11" s="208" t="s">
        <v>291</v>
      </c>
      <c r="O11" s="209" t="s">
        <v>292</v>
      </c>
      <c r="P11" s="210">
        <f>YEAR(K9)</f>
        <v>2026</v>
      </c>
      <c r="Q11" s="207"/>
      <c r="R11" s="207"/>
      <c r="S11" s="207"/>
      <c r="T11" s="207"/>
      <c r="U11" s="207" t="s">
        <v>293</v>
      </c>
      <c r="V11" s="207"/>
    </row>
    <row r="12" spans="1:22" ht="13.05" customHeight="1" x14ac:dyDescent="0.45">
      <c r="B12" s="12" t="s">
        <v>294</v>
      </c>
      <c r="C12" s="530" t="str">
        <f>Input!D19</f>
        <v>Maintenance Support Supervisor</v>
      </c>
      <c r="D12" s="419"/>
      <c r="E12" s="419"/>
      <c r="F12" s="419"/>
      <c r="G12" s="419"/>
      <c r="H12" s="419"/>
      <c r="K12" s="207" t="s">
        <v>295</v>
      </c>
      <c r="L12" s="207">
        <v>4</v>
      </c>
      <c r="M12" s="208" t="s">
        <v>296</v>
      </c>
      <c r="N12" s="208" t="s">
        <v>297</v>
      </c>
      <c r="O12" s="209" t="s">
        <v>298</v>
      </c>
      <c r="P12" s="207"/>
      <c r="Q12" s="207"/>
      <c r="R12" s="207"/>
      <c r="S12" s="207"/>
      <c r="T12" s="207"/>
      <c r="U12" s="207" t="s">
        <v>299</v>
      </c>
      <c r="V12" s="207"/>
    </row>
    <row r="13" spans="1:22" ht="16.5" customHeight="1" x14ac:dyDescent="0.45">
      <c r="K13" s="207" t="s">
        <v>300</v>
      </c>
      <c r="L13" s="207">
        <v>5</v>
      </c>
      <c r="M13" s="208" t="s">
        <v>301</v>
      </c>
      <c r="N13" s="208" t="s">
        <v>302</v>
      </c>
      <c r="O13" s="207"/>
      <c r="P13" s="207"/>
      <c r="Q13" s="207"/>
      <c r="R13" s="207"/>
      <c r="S13" s="207"/>
      <c r="T13" s="207"/>
      <c r="U13" s="207" t="s">
        <v>303</v>
      </c>
      <c r="V13" s="207"/>
    </row>
    <row r="14" spans="1:22" ht="24" customHeight="1" x14ac:dyDescent="0.45">
      <c r="A14" s="545" t="s">
        <v>304</v>
      </c>
      <c r="B14" s="546"/>
      <c r="C14" s="546"/>
      <c r="D14" s="546"/>
      <c r="E14" s="546"/>
      <c r="F14" s="546"/>
      <c r="G14" s="546"/>
      <c r="H14" s="547"/>
      <c r="K14" s="207" t="s">
        <v>305</v>
      </c>
      <c r="L14" s="207">
        <v>6</v>
      </c>
      <c r="M14" s="208" t="s">
        <v>306</v>
      </c>
      <c r="N14" s="208" t="s">
        <v>307</v>
      </c>
      <c r="O14" s="207"/>
      <c r="P14" s="207"/>
      <c r="Q14" s="207"/>
      <c r="R14" s="207"/>
      <c r="S14" s="207"/>
      <c r="T14" s="207"/>
      <c r="U14" s="207" t="s">
        <v>308</v>
      </c>
      <c r="V14" s="207"/>
    </row>
    <row r="15" spans="1:22" ht="13.05" customHeight="1" x14ac:dyDescent="0.45">
      <c r="B15" s="11" t="s">
        <v>281</v>
      </c>
      <c r="C15" s="526" t="str">
        <f>Input!D20</f>
        <v>PT Banggai Sentral Sulawesi</v>
      </c>
      <c r="D15" s="419"/>
      <c r="E15" s="419"/>
      <c r="F15" s="419"/>
      <c r="G15" s="419"/>
      <c r="H15" s="419"/>
      <c r="K15" s="207" t="s">
        <v>309</v>
      </c>
      <c r="L15" s="207">
        <v>7</v>
      </c>
      <c r="M15" s="208" t="s">
        <v>310</v>
      </c>
      <c r="N15" s="208" t="s">
        <v>311</v>
      </c>
      <c r="O15" s="207"/>
      <c r="P15" s="207"/>
      <c r="Q15" s="207"/>
      <c r="R15" s="207"/>
      <c r="S15" s="207"/>
      <c r="T15" s="207"/>
      <c r="U15" s="207" t="s">
        <v>312</v>
      </c>
      <c r="V15" s="207"/>
    </row>
    <row r="16" spans="1:22" ht="13.05" customHeight="1" x14ac:dyDescent="0.45">
      <c r="B16" s="12" t="s">
        <v>283</v>
      </c>
      <c r="C16" s="525" t="str">
        <f>Input!D21</f>
        <v>Jl. Urip Sumorharjo No. 53, Luwuk, Kabupaten Banggai, Provinsi Sulawesi Tengah (94715), Indonesia</v>
      </c>
      <c r="D16" s="419"/>
      <c r="E16" s="419"/>
      <c r="F16" s="419"/>
      <c r="G16" s="419"/>
      <c r="H16" s="419"/>
      <c r="K16" s="207" t="s">
        <v>313</v>
      </c>
      <c r="L16" s="207">
        <v>8</v>
      </c>
      <c r="M16" s="208" t="s">
        <v>314</v>
      </c>
      <c r="N16" s="208" t="s">
        <v>315</v>
      </c>
      <c r="O16" s="207"/>
      <c r="P16" s="207"/>
      <c r="Q16" s="207"/>
      <c r="R16" s="207"/>
      <c r="S16" s="207"/>
      <c r="T16" s="207"/>
      <c r="U16" s="207" t="s">
        <v>316</v>
      </c>
      <c r="V16" s="207"/>
    </row>
    <row r="17" spans="1:22" ht="13.05" customHeight="1" x14ac:dyDescent="0.45">
      <c r="B17" s="12" t="s">
        <v>288</v>
      </c>
      <c r="C17" s="530" t="str">
        <f>Input!D22</f>
        <v>Ir. Ferry Tatimu</v>
      </c>
      <c r="D17" s="419"/>
      <c r="E17" s="419"/>
      <c r="F17" s="419"/>
      <c r="G17" s="419"/>
      <c r="H17" s="419"/>
      <c r="K17" s="207" t="s">
        <v>317</v>
      </c>
      <c r="L17" s="207"/>
      <c r="M17" s="207"/>
      <c r="N17" s="207"/>
      <c r="O17" s="207"/>
      <c r="P17" s="207"/>
      <c r="Q17" s="207"/>
      <c r="R17" s="207"/>
      <c r="S17" s="207"/>
      <c r="T17" s="207"/>
      <c r="U17" s="207" t="s">
        <v>318</v>
      </c>
      <c r="V17" s="207"/>
    </row>
    <row r="18" spans="1:22" ht="13.05" customHeight="1" x14ac:dyDescent="0.45">
      <c r="B18" s="12" t="s">
        <v>294</v>
      </c>
      <c r="C18" s="530" t="s">
        <v>273</v>
      </c>
      <c r="D18" s="419"/>
      <c r="E18" s="419"/>
      <c r="F18" s="419"/>
      <c r="G18" s="419"/>
      <c r="H18" s="419"/>
      <c r="K18" s="207" t="s">
        <v>319</v>
      </c>
      <c r="L18" s="207"/>
      <c r="M18" s="207"/>
      <c r="N18" s="207"/>
      <c r="O18" s="207"/>
      <c r="P18" s="207"/>
      <c r="Q18" s="207"/>
      <c r="R18" s="207"/>
      <c r="S18" s="207"/>
      <c r="T18" s="207"/>
      <c r="U18" s="207" t="s">
        <v>320</v>
      </c>
      <c r="V18" s="207"/>
    </row>
    <row r="19" spans="1:22" ht="14.25" customHeight="1" x14ac:dyDescent="0.45">
      <c r="K19" s="212" t="s">
        <v>321</v>
      </c>
      <c r="L19" s="207"/>
      <c r="M19" s="207"/>
      <c r="N19" s="207"/>
      <c r="O19" s="207"/>
      <c r="P19" s="207"/>
      <c r="Q19" s="207"/>
      <c r="R19" s="207"/>
      <c r="S19" s="207"/>
      <c r="T19" s="207"/>
      <c r="U19" s="212" t="s">
        <v>321</v>
      </c>
      <c r="V19" s="207"/>
    </row>
    <row r="20" spans="1:22" ht="24" customHeight="1" thickBot="1" x14ac:dyDescent="0.5">
      <c r="A20" s="555" t="s">
        <v>322</v>
      </c>
      <c r="B20" s="556"/>
      <c r="C20" s="556"/>
      <c r="D20" s="556"/>
      <c r="E20" s="556"/>
      <c r="F20" s="556"/>
      <c r="G20" s="556"/>
      <c r="H20" s="557"/>
    </row>
    <row r="21" spans="1:22" ht="24" customHeight="1" thickBot="1" x14ac:dyDescent="0.5">
      <c r="A21" s="214"/>
      <c r="B21" s="558" t="s">
        <v>323</v>
      </c>
      <c r="C21" s="370" t="s">
        <v>289</v>
      </c>
      <c r="D21" s="371" t="str">
        <f>Input!D6</f>
        <v>7207250142</v>
      </c>
      <c r="E21" s="371"/>
      <c r="F21" s="531" t="s">
        <v>295</v>
      </c>
      <c r="G21" s="532"/>
      <c r="H21" s="371">
        <f>Input!D13</f>
        <v>4500011424</v>
      </c>
    </row>
    <row r="22" spans="1:22" ht="24.4" customHeight="1" thickBot="1" x14ac:dyDescent="0.5">
      <c r="A22" s="215"/>
      <c r="B22" s="559"/>
      <c r="C22" s="372" t="s">
        <v>293</v>
      </c>
      <c r="D22" s="373" t="str">
        <f>Input!D9</f>
        <v>16 Desember 2025</v>
      </c>
      <c r="E22" s="374"/>
      <c r="F22" s="548" t="s">
        <v>299</v>
      </c>
      <c r="G22" s="549"/>
      <c r="H22" s="375">
        <f>Input!D14</f>
        <v>46204</v>
      </c>
    </row>
    <row r="23" spans="1:22" ht="6.4" customHeight="1" x14ac:dyDescent="0.45">
      <c r="B23" s="12"/>
      <c r="C23" s="14"/>
      <c r="D23" s="5"/>
      <c r="E23" s="5"/>
      <c r="F23" s="5"/>
      <c r="G23" s="5"/>
      <c r="H23" s="5"/>
    </row>
    <row r="24" spans="1:22" ht="46.5" customHeight="1" x14ac:dyDescent="0.45">
      <c r="A24" s="216"/>
      <c r="B24" s="217" t="s">
        <v>324</v>
      </c>
      <c r="C24" s="552" t="str">
        <f>Input!D15</f>
        <v>“Jasa Sewa Backhoe Loader Untuk support Kegiatan Operation &amp; Maintenance di Area Senoro dan Tiaka Periode Juli - September 2026, Refer CTR No. 7207250142-BSS-CTR-2026-019" (01 - 31 Juli 2026)</v>
      </c>
      <c r="D24" s="553"/>
      <c r="E24" s="553"/>
      <c r="F24" s="553"/>
      <c r="G24" s="553"/>
      <c r="H24" s="554"/>
    </row>
    <row r="25" spans="1:22" ht="26" customHeight="1" thickBot="1" x14ac:dyDescent="0.5">
      <c r="A25" s="533" t="s">
        <v>325</v>
      </c>
      <c r="B25" s="419"/>
      <c r="C25" s="419"/>
      <c r="D25" s="419"/>
      <c r="E25" s="419"/>
      <c r="F25" s="419"/>
      <c r="G25" s="419"/>
      <c r="H25" s="419"/>
    </row>
    <row r="26" spans="1:22" ht="28.05" customHeight="1" thickTop="1" thickBot="1" x14ac:dyDescent="0.5">
      <c r="A26" s="243" t="s">
        <v>326</v>
      </c>
      <c r="B26" s="550" t="s">
        <v>327</v>
      </c>
      <c r="C26" s="551"/>
      <c r="D26" s="550" t="s">
        <v>328</v>
      </c>
      <c r="E26" s="551"/>
      <c r="F26" s="244" t="s">
        <v>329</v>
      </c>
      <c r="G26" s="550" t="s">
        <v>330</v>
      </c>
      <c r="H26" s="551"/>
    </row>
    <row r="27" spans="1:22" ht="45.75" customHeight="1" thickBot="1" x14ac:dyDescent="0.5">
      <c r="A27" s="218">
        <v>1</v>
      </c>
      <c r="B27" s="541" t="str">
        <f>'Rincian Pek'!C17</f>
        <v>Jasa Sewa Alat Berat Monthly Basis (Include Operator, Rigger, Helper, BBM &amp; Sertifikasi), Backhoe Loader 70 - 100 HP</v>
      </c>
      <c r="C27" s="529"/>
      <c r="D27" s="534">
        <f>'Rincian Pek'!J17</f>
        <v>1</v>
      </c>
      <c r="E27" s="529"/>
      <c r="F27" s="219" t="s">
        <v>35</v>
      </c>
      <c r="G27" s="528" t="s">
        <v>331</v>
      </c>
      <c r="H27" s="529"/>
    </row>
    <row r="28" spans="1:22" ht="22.15" customHeight="1" thickBot="1" x14ac:dyDescent="0.5">
      <c r="A28" s="220"/>
      <c r="B28" s="543"/>
      <c r="C28" s="537"/>
      <c r="D28" s="544"/>
      <c r="E28" s="537"/>
      <c r="F28" s="221"/>
      <c r="G28" s="536"/>
      <c r="H28" s="537"/>
    </row>
    <row r="29" spans="1:22" ht="12" customHeight="1" thickTop="1" x14ac:dyDescent="0.45"/>
    <row r="30" spans="1:22" ht="26" customHeight="1" x14ac:dyDescent="0.45">
      <c r="A30" s="525" t="s">
        <v>332</v>
      </c>
      <c r="B30" s="419"/>
      <c r="C30" s="419"/>
      <c r="D30" s="419"/>
      <c r="E30" s="419"/>
      <c r="F30" s="419"/>
      <c r="G30" s="419"/>
      <c r="H30" s="419"/>
    </row>
    <row r="31" spans="1:22" ht="15" customHeight="1" x14ac:dyDescent="0.45"/>
    <row r="32" spans="1:22" ht="15" customHeight="1" x14ac:dyDescent="0.45"/>
    <row r="33" spans="1:8" ht="15" customHeight="1" x14ac:dyDescent="0.45"/>
    <row r="34" spans="1:8" ht="15" customHeight="1" x14ac:dyDescent="0.45"/>
    <row r="35" spans="1:8" ht="15" customHeight="1" x14ac:dyDescent="0.45"/>
    <row r="36" spans="1:8" ht="15" customHeight="1" x14ac:dyDescent="0.45"/>
    <row r="37" spans="1:8" ht="15" customHeight="1" x14ac:dyDescent="0.45"/>
    <row r="38" spans="1:8" ht="22.05" customHeight="1" x14ac:dyDescent="0.45">
      <c r="A38" s="527" t="s">
        <v>333</v>
      </c>
      <c r="B38" s="419"/>
      <c r="C38" s="419"/>
      <c r="D38" s="419"/>
      <c r="E38" s="199"/>
      <c r="F38" s="527" t="s">
        <v>334</v>
      </c>
      <c r="G38" s="419"/>
      <c r="H38" s="419"/>
    </row>
    <row r="39" spans="1:8" ht="20" customHeight="1" x14ac:dyDescent="0.45">
      <c r="A39" s="535" t="s">
        <v>16</v>
      </c>
      <c r="B39" s="419"/>
      <c r="C39" s="419"/>
      <c r="D39" s="419"/>
      <c r="E39" s="200"/>
      <c r="F39" s="535" t="s">
        <v>15</v>
      </c>
      <c r="G39" s="419"/>
      <c r="H39" s="419"/>
    </row>
    <row r="40" spans="1:8" ht="18" customHeight="1" x14ac:dyDescent="0.45"/>
    <row r="41" spans="1:8" ht="18" customHeight="1" x14ac:dyDescent="0.45"/>
    <row r="42" spans="1:8" ht="18" customHeight="1" x14ac:dyDescent="0.45"/>
    <row r="43" spans="1:8" ht="22.05" customHeight="1" x14ac:dyDescent="0.45">
      <c r="A43" s="539" t="str">
        <f>C11</f>
        <v>Ronny Dwi Purnomo / Rafik Hidayat</v>
      </c>
      <c r="B43" s="419"/>
      <c r="C43" s="419"/>
      <c r="D43" s="419"/>
      <c r="E43" s="197"/>
      <c r="F43" s="539" t="s">
        <v>108</v>
      </c>
      <c r="G43" s="419"/>
      <c r="H43" s="419"/>
    </row>
    <row r="44" spans="1:8" ht="20" customHeight="1" x14ac:dyDescent="0.45">
      <c r="A44" s="538" t="str">
        <f>C12</f>
        <v>Maintenance Support Supervisor</v>
      </c>
      <c r="B44" s="419"/>
      <c r="C44" s="419"/>
      <c r="D44" s="419"/>
      <c r="E44" s="198"/>
      <c r="F44" s="538" t="s">
        <v>273</v>
      </c>
      <c r="G44" s="419"/>
      <c r="H44" s="419"/>
    </row>
    <row r="45" spans="1:8" ht="20" customHeight="1" x14ac:dyDescent="0.45">
      <c r="A45" s="198"/>
      <c r="B45" s="198"/>
      <c r="C45" s="198"/>
      <c r="D45" s="198"/>
      <c r="E45" s="198"/>
      <c r="F45" s="198"/>
      <c r="G45" s="198"/>
      <c r="H45" s="198"/>
    </row>
    <row r="46" spans="1:8" ht="20" customHeight="1" x14ac:dyDescent="0.45">
      <c r="A46" s="198"/>
      <c r="B46" s="198"/>
      <c r="C46" s="198"/>
      <c r="D46" s="198"/>
      <c r="E46" s="198"/>
      <c r="F46" s="198"/>
      <c r="G46" s="198"/>
      <c r="H46" s="198"/>
    </row>
    <row r="47" spans="1:8" ht="20" customHeight="1" x14ac:dyDescent="0.45">
      <c r="A47" s="198"/>
      <c r="B47" s="198"/>
      <c r="C47" s="198"/>
      <c r="D47" s="198"/>
      <c r="E47" s="198"/>
      <c r="F47" s="198"/>
      <c r="G47" s="198"/>
      <c r="H47" s="198"/>
    </row>
    <row r="48" spans="1:8" ht="20" customHeight="1" x14ac:dyDescent="0.45">
      <c r="A48" s="540" t="s">
        <v>335</v>
      </c>
      <c r="B48" s="419"/>
      <c r="C48" s="419"/>
    </row>
    <row r="49" spans="2:8" hidden="1" x14ac:dyDescent="0.45">
      <c r="C49" t="s">
        <v>108</v>
      </c>
      <c r="F49" t="s">
        <v>336</v>
      </c>
    </row>
    <row r="50" spans="2:8" hidden="1" x14ac:dyDescent="0.45">
      <c r="C50" t="s">
        <v>20</v>
      </c>
      <c r="F50" t="s">
        <v>337</v>
      </c>
    </row>
    <row r="51" spans="2:8" hidden="1" x14ac:dyDescent="0.45">
      <c r="C51" t="s">
        <v>273</v>
      </c>
    </row>
    <row r="52" spans="2:8" hidden="1" x14ac:dyDescent="0.45">
      <c r="C52" t="s">
        <v>178</v>
      </c>
    </row>
    <row r="53" spans="2:8" ht="16.5" customHeight="1" x14ac:dyDescent="0.45">
      <c r="B53" s="539"/>
      <c r="C53" s="419"/>
    </row>
    <row r="55" spans="2:8" ht="16.5" customHeight="1" x14ac:dyDescent="0.45">
      <c r="F55" s="527"/>
      <c r="G55" s="419"/>
      <c r="H55" s="419"/>
    </row>
    <row r="56" spans="2:8" ht="16.5" customHeight="1" x14ac:dyDescent="0.45">
      <c r="F56" s="535"/>
      <c r="G56" s="419"/>
      <c r="H56" s="419"/>
    </row>
    <row r="60" spans="2:8" ht="16.5" customHeight="1" x14ac:dyDescent="0.45">
      <c r="F60" s="539"/>
      <c r="G60" s="419"/>
      <c r="H60" s="419"/>
    </row>
    <row r="61" spans="2:8" ht="16.5" customHeight="1" x14ac:dyDescent="0.45">
      <c r="F61" s="538"/>
      <c r="G61" s="419"/>
      <c r="H61" s="419"/>
    </row>
  </sheetData>
  <mergeCells count="42">
    <mergeCell ref="A2:H2"/>
    <mergeCell ref="B28:C28"/>
    <mergeCell ref="D28:E28"/>
    <mergeCell ref="A14:H14"/>
    <mergeCell ref="C18:H18"/>
    <mergeCell ref="F22:G22"/>
    <mergeCell ref="A8:H8"/>
    <mergeCell ref="G26:H26"/>
    <mergeCell ref="C15:H15"/>
    <mergeCell ref="C24:H24"/>
    <mergeCell ref="A20:H20"/>
    <mergeCell ref="B26:C26"/>
    <mergeCell ref="D26:E26"/>
    <mergeCell ref="B21:B22"/>
    <mergeCell ref="C12:H12"/>
    <mergeCell ref="A6:H6"/>
    <mergeCell ref="A39:D39"/>
    <mergeCell ref="F56:H56"/>
    <mergeCell ref="G28:H28"/>
    <mergeCell ref="C17:H17"/>
    <mergeCell ref="F61:H61"/>
    <mergeCell ref="F39:H39"/>
    <mergeCell ref="B53:C53"/>
    <mergeCell ref="F60:H60"/>
    <mergeCell ref="F44:H44"/>
    <mergeCell ref="A48:C48"/>
    <mergeCell ref="F55:H55"/>
    <mergeCell ref="A43:D43"/>
    <mergeCell ref="B27:C27"/>
    <mergeCell ref="A44:D44"/>
    <mergeCell ref="F38:H38"/>
    <mergeCell ref="F43:H43"/>
    <mergeCell ref="C10:H10"/>
    <mergeCell ref="C16:H16"/>
    <mergeCell ref="A30:H30"/>
    <mergeCell ref="C9:H9"/>
    <mergeCell ref="A38:D38"/>
    <mergeCell ref="G27:H27"/>
    <mergeCell ref="C11:H11"/>
    <mergeCell ref="F21:G21"/>
    <mergeCell ref="A25:H25"/>
    <mergeCell ref="D27:E27"/>
  </mergeCells>
  <conditionalFormatting sqref="A27:D28 F27:G28">
    <cfRule type="expression" dxfId="3" priority="1">
      <formula>ISODD(ROW())</formula>
    </cfRule>
    <cfRule type="expression" dxfId="2" priority="2">
      <formula>ISODD(ROW())</formula>
    </cfRule>
  </conditionalFormatting>
  <dataValidations count="4">
    <dataValidation type="list" allowBlank="1" showInputMessage="1" showErrorMessage="1" sqref="F43:H43 F60:H60" xr:uid="{00000000-0002-0000-0700-000000000000}">
      <formula1>$C$49:$C$50</formula1>
    </dataValidation>
    <dataValidation type="list" allowBlank="1" showInputMessage="1" showErrorMessage="1" sqref="C18:H18 F44:H47 F61:H61" xr:uid="{00000000-0002-0000-0700-000001000000}">
      <formula1>$C$51:$C$52</formula1>
    </dataValidation>
    <dataValidation type="list" allowBlank="1" showInputMessage="1" showErrorMessage="1" sqref="C21 F21:G21" xr:uid="{00000000-0002-0000-0700-000002000000}">
      <formula1>$K$11:$K$25</formula1>
    </dataValidation>
    <dataValidation type="list" allowBlank="1" showInputMessage="1" showErrorMessage="1" sqref="C22 F22:G22" xr:uid="{00000000-0002-0000-0700-000003000000}">
      <formula1>$U$11:$U$19</formula1>
    </dataValidation>
  </dataValidations>
  <printOptions horizontalCentered="1"/>
  <pageMargins left="0.15748031496062989" right="0.15748031496062989" top="0.59055118110236227" bottom="0.19685039370078741" header="0.51181102362204722" footer="0.51181102362204722"/>
  <pageSetup paperSize="9" scale="85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V61"/>
  <sheetViews>
    <sheetView showGridLines="0" topLeftCell="A20" workbookViewId="0">
      <selection activeCell="G27" sqref="G27:H27"/>
    </sheetView>
  </sheetViews>
  <sheetFormatPr defaultRowHeight="14.25" x14ac:dyDescent="0.45"/>
  <cols>
    <col min="1" max="1" width="6" customWidth="1"/>
    <col min="2" max="2" width="20" customWidth="1"/>
    <col min="3" max="3" width="25.3984375" customWidth="1"/>
    <col min="4" max="4" width="8.06640625" customWidth="1"/>
    <col min="5" max="5" width="9.6640625" customWidth="1"/>
    <col min="6" max="7" width="12" customWidth="1"/>
    <col min="8" max="8" width="17.796875" customWidth="1"/>
    <col min="9" max="9" width="2.19921875" customWidth="1"/>
    <col min="10" max="10" width="2.46484375" customWidth="1"/>
    <col min="11" max="11" width="17.73046875" customWidth="1"/>
    <col min="12" max="12" width="0" hidden="1"/>
    <col min="13" max="13" width="11.796875" hidden="1" customWidth="1"/>
    <col min="14" max="14" width="10" hidden="1" customWidth="1"/>
    <col min="15" max="15" width="10.46484375" hidden="1" customWidth="1"/>
    <col min="16" max="16" width="13.73046875" hidden="1" customWidth="1"/>
    <col min="17" max="20" width="0" hidden="1"/>
  </cols>
  <sheetData>
    <row r="1" spans="1:22" ht="15" customHeight="1" x14ac:dyDescent="0.45"/>
    <row r="2" spans="1:22" ht="40.15" customHeight="1" thickBot="1" x14ac:dyDescent="0.5">
      <c r="A2" s="542" t="s">
        <v>338</v>
      </c>
      <c r="B2" s="419"/>
      <c r="C2" s="419"/>
      <c r="D2" s="419"/>
      <c r="E2" s="419"/>
      <c r="F2" s="419"/>
      <c r="G2" s="419"/>
      <c r="H2" s="419"/>
    </row>
    <row r="3" spans="1:22" ht="3.4" customHeight="1" thickBot="1" x14ac:dyDescent="0.5">
      <c r="A3" s="213"/>
      <c r="B3" s="213"/>
      <c r="C3" s="213"/>
      <c r="D3" s="213"/>
      <c r="E3" s="213"/>
      <c r="F3" s="213"/>
      <c r="G3" s="213"/>
      <c r="H3" s="213"/>
    </row>
    <row r="4" spans="1:22" ht="10.5" customHeight="1" thickTop="1" x14ac:dyDescent="0.45">
      <c r="A4" s="211"/>
      <c r="B4" s="211"/>
      <c r="C4" s="211"/>
      <c r="D4" s="211"/>
      <c r="E4" s="211"/>
      <c r="F4" s="211"/>
      <c r="G4" s="211"/>
      <c r="H4" s="211"/>
    </row>
    <row r="5" spans="1:22" ht="8.65" customHeight="1" x14ac:dyDescent="0.45">
      <c r="A5" s="211"/>
      <c r="B5" s="211"/>
      <c r="C5" s="211"/>
      <c r="D5" s="211"/>
      <c r="E5" s="211"/>
      <c r="F5" s="211"/>
      <c r="G5" s="211"/>
      <c r="H5" s="211"/>
    </row>
    <row r="6" spans="1:22" ht="24" customHeight="1" x14ac:dyDescent="0.45">
      <c r="A6" s="530" t="str">
        <f>$O$6</f>
        <v>Pada hari ini  Jum'at tanggal 31 bulan July tahun 2026 yang bertanda tangan di bawah ini:</v>
      </c>
      <c r="B6" s="419"/>
      <c r="C6" s="419"/>
      <c r="D6" s="419"/>
      <c r="E6" s="419"/>
      <c r="F6" s="419"/>
      <c r="G6" s="419"/>
      <c r="H6" s="419"/>
      <c r="K6" s="6"/>
      <c r="M6" s="7"/>
      <c r="N6" s="8"/>
      <c r="O6" s="5" t="str">
        <f>CONCATENATE(O8, " ",P8, " ",O9, " ",P9, " ",O10, " ",P10, " ",O11, " ",P11, " ",O12)</f>
        <v>Pada hari ini  Jum'at tanggal 31 bulan July tahun 2026 yang bertanda tangan di bawah ini:</v>
      </c>
    </row>
    <row r="7" spans="1:22" ht="4.1500000000000004" customHeight="1" x14ac:dyDescent="0.45">
      <c r="K7" s="9"/>
      <c r="M7" s="10"/>
      <c r="N7" s="10"/>
    </row>
    <row r="8" spans="1:22" ht="24" customHeight="1" x14ac:dyDescent="0.45">
      <c r="A8" s="545" t="s">
        <v>277</v>
      </c>
      <c r="B8" s="546"/>
      <c r="C8" s="546"/>
      <c r="D8" s="546"/>
      <c r="E8" s="546"/>
      <c r="F8" s="546"/>
      <c r="G8" s="546"/>
      <c r="H8" s="547"/>
      <c r="K8" s="6" t="s">
        <v>278</v>
      </c>
      <c r="M8" s="7" t="s">
        <v>279</v>
      </c>
      <c r="N8" s="8"/>
      <c r="O8" s="5" t="s">
        <v>280</v>
      </c>
      <c r="P8" s="5" t="str">
        <f>$N$9</f>
        <v>Jum'at</v>
      </c>
      <c r="Q8" s="5"/>
      <c r="R8" s="5"/>
      <c r="S8" s="5"/>
    </row>
    <row r="9" spans="1:22" ht="13.05" customHeight="1" x14ac:dyDescent="0.45">
      <c r="B9" s="11" t="s">
        <v>281</v>
      </c>
      <c r="C9" s="526" t="str">
        <f>Input!D16</f>
        <v>JOB Pertamina - Medco E&amp;P Tomori Sulawesi</v>
      </c>
      <c r="D9" s="419"/>
      <c r="E9" s="419"/>
      <c r="F9" s="419"/>
      <c r="G9" s="419"/>
      <c r="H9" s="419"/>
      <c r="K9" s="9">
        <v>46234</v>
      </c>
      <c r="L9">
        <v>1</v>
      </c>
      <c r="M9" s="10" t="str">
        <f>TEXT(K9,"dddd")</f>
        <v>Friday</v>
      </c>
      <c r="N9" s="10" t="str">
        <f>VLOOKUP(M9,$M$10:$N$16,2,0)</f>
        <v>Jum'at</v>
      </c>
      <c r="O9" s="5" t="s">
        <v>282</v>
      </c>
      <c r="P9" s="4">
        <f>DAY(K9)</f>
        <v>31</v>
      </c>
    </row>
    <row r="10" spans="1:22" ht="19.5" customHeight="1" x14ac:dyDescent="0.45">
      <c r="B10" s="12" t="s">
        <v>283</v>
      </c>
      <c r="C10" s="525" t="str">
        <f>Input!D17</f>
        <v>Bidakara Office Tower I 4Th Floor, Jl. Gatot Subroto Kav. 71 - 73, Jakarta 12870, Indonesia</v>
      </c>
      <c r="D10" s="419"/>
      <c r="E10" s="419"/>
      <c r="F10" s="419"/>
      <c r="G10" s="419"/>
      <c r="H10" s="419"/>
      <c r="K10" s="206" t="s">
        <v>284</v>
      </c>
      <c r="L10">
        <v>2</v>
      </c>
      <c r="M10" s="13" t="s">
        <v>285</v>
      </c>
      <c r="N10" s="13" t="s">
        <v>286</v>
      </c>
      <c r="O10" s="5" t="s">
        <v>287</v>
      </c>
      <c r="P10" s="4" t="str">
        <f>TEXT(K9,"MMMM")</f>
        <v>July</v>
      </c>
    </row>
    <row r="11" spans="1:22" ht="13.05" customHeight="1" x14ac:dyDescent="0.45">
      <c r="B11" s="12" t="s">
        <v>288</v>
      </c>
      <c r="C11" s="530" t="str">
        <f>Input!D18</f>
        <v>Ronny Dwi Purnomo / Rafik Hidayat</v>
      </c>
      <c r="D11" s="419"/>
      <c r="E11" s="419"/>
      <c r="F11" s="419"/>
      <c r="G11" s="419"/>
      <c r="H11" s="419"/>
      <c r="K11" s="207" t="s">
        <v>289</v>
      </c>
      <c r="L11" s="207">
        <v>3</v>
      </c>
      <c r="M11" s="208" t="s">
        <v>290</v>
      </c>
      <c r="N11" s="208" t="s">
        <v>291</v>
      </c>
      <c r="O11" s="209" t="s">
        <v>292</v>
      </c>
      <c r="P11" s="210">
        <f>YEAR(K9)</f>
        <v>2026</v>
      </c>
      <c r="Q11" s="207"/>
      <c r="R11" s="207"/>
      <c r="S11" s="207"/>
      <c r="T11" s="207"/>
      <c r="U11" s="207" t="s">
        <v>293</v>
      </c>
      <c r="V11" s="207"/>
    </row>
    <row r="12" spans="1:22" ht="13.05" customHeight="1" x14ac:dyDescent="0.45">
      <c r="B12" s="12" t="s">
        <v>294</v>
      </c>
      <c r="C12" s="530" t="str">
        <f>Input!D19</f>
        <v>Maintenance Support Supervisor</v>
      </c>
      <c r="D12" s="419"/>
      <c r="E12" s="419"/>
      <c r="F12" s="419"/>
      <c r="G12" s="419"/>
      <c r="H12" s="419"/>
      <c r="K12" s="207" t="s">
        <v>295</v>
      </c>
      <c r="L12" s="207">
        <v>4</v>
      </c>
      <c r="M12" s="208" t="s">
        <v>296</v>
      </c>
      <c r="N12" s="208" t="s">
        <v>297</v>
      </c>
      <c r="O12" s="209" t="s">
        <v>298</v>
      </c>
      <c r="P12" s="207"/>
      <c r="Q12" s="207"/>
      <c r="R12" s="207"/>
      <c r="S12" s="207"/>
      <c r="T12" s="207"/>
      <c r="U12" s="207" t="s">
        <v>299</v>
      </c>
      <c r="V12" s="207"/>
    </row>
    <row r="13" spans="1:22" ht="16.5" customHeight="1" x14ac:dyDescent="0.45">
      <c r="K13" s="207" t="s">
        <v>300</v>
      </c>
      <c r="L13" s="207">
        <v>5</v>
      </c>
      <c r="M13" s="208" t="s">
        <v>301</v>
      </c>
      <c r="N13" s="208" t="s">
        <v>302</v>
      </c>
      <c r="O13" s="207"/>
      <c r="P13" s="207"/>
      <c r="Q13" s="207"/>
      <c r="R13" s="207"/>
      <c r="S13" s="207"/>
      <c r="T13" s="207"/>
      <c r="U13" s="207" t="s">
        <v>303</v>
      </c>
      <c r="V13" s="207"/>
    </row>
    <row r="14" spans="1:22" ht="24" customHeight="1" x14ac:dyDescent="0.45">
      <c r="A14" s="545" t="s">
        <v>304</v>
      </c>
      <c r="B14" s="546"/>
      <c r="C14" s="546"/>
      <c r="D14" s="546"/>
      <c r="E14" s="546"/>
      <c r="F14" s="546"/>
      <c r="G14" s="546"/>
      <c r="H14" s="547"/>
      <c r="K14" s="207" t="s">
        <v>305</v>
      </c>
      <c r="L14" s="207">
        <v>6</v>
      </c>
      <c r="M14" s="208" t="s">
        <v>306</v>
      </c>
      <c r="N14" s="208" t="s">
        <v>307</v>
      </c>
      <c r="O14" s="207"/>
      <c r="P14" s="207"/>
      <c r="Q14" s="207"/>
      <c r="R14" s="207"/>
      <c r="S14" s="207"/>
      <c r="T14" s="207"/>
      <c r="U14" s="207" t="s">
        <v>308</v>
      </c>
      <c r="V14" s="207"/>
    </row>
    <row r="15" spans="1:22" ht="13.05" customHeight="1" x14ac:dyDescent="0.45">
      <c r="B15" s="11" t="s">
        <v>281</v>
      </c>
      <c r="C15" s="526" t="str">
        <f>Input!D20</f>
        <v>PT Banggai Sentral Sulawesi</v>
      </c>
      <c r="D15" s="419"/>
      <c r="E15" s="419"/>
      <c r="F15" s="419"/>
      <c r="G15" s="419"/>
      <c r="H15" s="419"/>
      <c r="K15" s="207" t="s">
        <v>309</v>
      </c>
      <c r="L15" s="207">
        <v>7</v>
      </c>
      <c r="M15" s="208" t="s">
        <v>310</v>
      </c>
      <c r="N15" s="208" t="s">
        <v>311</v>
      </c>
      <c r="O15" s="207"/>
      <c r="P15" s="207"/>
      <c r="Q15" s="207"/>
      <c r="R15" s="207"/>
      <c r="S15" s="207"/>
      <c r="T15" s="207"/>
      <c r="U15" s="207" t="s">
        <v>312</v>
      </c>
      <c r="V15" s="207"/>
    </row>
    <row r="16" spans="1:22" ht="13.05" customHeight="1" x14ac:dyDescent="0.45">
      <c r="B16" s="12" t="s">
        <v>283</v>
      </c>
      <c r="C16" s="525" t="str">
        <f>Input!D21</f>
        <v>Jl. Urip Sumorharjo No. 53, Luwuk, Kabupaten Banggai, Provinsi Sulawesi Tengah (94715), Indonesia</v>
      </c>
      <c r="D16" s="419"/>
      <c r="E16" s="419"/>
      <c r="F16" s="419"/>
      <c r="G16" s="419"/>
      <c r="H16" s="419"/>
      <c r="K16" s="207" t="s">
        <v>313</v>
      </c>
      <c r="L16" s="207">
        <v>8</v>
      </c>
      <c r="M16" s="208" t="s">
        <v>314</v>
      </c>
      <c r="N16" s="208" t="s">
        <v>315</v>
      </c>
      <c r="O16" s="207"/>
      <c r="P16" s="207"/>
      <c r="Q16" s="207"/>
      <c r="R16" s="207"/>
      <c r="S16" s="207"/>
      <c r="T16" s="207"/>
      <c r="U16" s="207" t="s">
        <v>316</v>
      </c>
      <c r="V16" s="207"/>
    </row>
    <row r="17" spans="1:22" ht="13.05" customHeight="1" x14ac:dyDescent="0.45">
      <c r="B17" s="12" t="s">
        <v>288</v>
      </c>
      <c r="C17" s="530" t="str">
        <f>Input!D22</f>
        <v>Ir. Ferry Tatimu</v>
      </c>
      <c r="D17" s="419"/>
      <c r="E17" s="419"/>
      <c r="F17" s="419"/>
      <c r="G17" s="419"/>
      <c r="H17" s="419"/>
      <c r="K17" s="207" t="s">
        <v>317</v>
      </c>
      <c r="L17" s="207"/>
      <c r="M17" s="207"/>
      <c r="N17" s="207"/>
      <c r="O17" s="207"/>
      <c r="P17" s="207"/>
      <c r="Q17" s="207"/>
      <c r="R17" s="207"/>
      <c r="S17" s="207"/>
      <c r="T17" s="207"/>
      <c r="U17" s="207" t="s">
        <v>318</v>
      </c>
      <c r="V17" s="207"/>
    </row>
    <row r="18" spans="1:22" ht="13.05" customHeight="1" x14ac:dyDescent="0.45">
      <c r="B18" s="12" t="s">
        <v>294</v>
      </c>
      <c r="C18" s="530" t="s">
        <v>273</v>
      </c>
      <c r="D18" s="419"/>
      <c r="E18" s="419"/>
      <c r="F18" s="419"/>
      <c r="G18" s="419"/>
      <c r="H18" s="419"/>
      <c r="K18" s="207" t="s">
        <v>319</v>
      </c>
      <c r="L18" s="207"/>
      <c r="M18" s="207"/>
      <c r="N18" s="207"/>
      <c r="O18" s="207"/>
      <c r="P18" s="207"/>
      <c r="Q18" s="207"/>
      <c r="R18" s="207"/>
      <c r="S18" s="207"/>
      <c r="T18" s="207"/>
      <c r="U18" s="207" t="s">
        <v>320</v>
      </c>
      <c r="V18" s="207"/>
    </row>
    <row r="19" spans="1:22" ht="14.25" customHeight="1" x14ac:dyDescent="0.45">
      <c r="K19" s="212" t="s">
        <v>321</v>
      </c>
      <c r="L19" s="207"/>
      <c r="M19" s="207"/>
      <c r="N19" s="207"/>
      <c r="O19" s="207"/>
      <c r="P19" s="207"/>
      <c r="Q19" s="207"/>
      <c r="R19" s="207"/>
      <c r="S19" s="207"/>
      <c r="T19" s="207"/>
      <c r="U19" s="212" t="s">
        <v>321</v>
      </c>
      <c r="V19" s="207"/>
    </row>
    <row r="20" spans="1:22" ht="24" customHeight="1" thickBot="1" x14ac:dyDescent="0.5">
      <c r="A20" s="555" t="s">
        <v>322</v>
      </c>
      <c r="B20" s="556"/>
      <c r="C20" s="556"/>
      <c r="D20" s="556"/>
      <c r="E20" s="556"/>
      <c r="F20" s="556"/>
      <c r="G20" s="556"/>
      <c r="H20" s="557"/>
    </row>
    <row r="21" spans="1:22" ht="24" customHeight="1" thickBot="1" x14ac:dyDescent="0.5">
      <c r="A21" s="214"/>
      <c r="B21" s="558" t="s">
        <v>323</v>
      </c>
      <c r="C21" s="370" t="s">
        <v>289</v>
      </c>
      <c r="D21" s="371" t="str">
        <f>Input!D6</f>
        <v>7207250142</v>
      </c>
      <c r="E21" s="371"/>
      <c r="F21" s="531" t="s">
        <v>295</v>
      </c>
      <c r="G21" s="532"/>
      <c r="H21" s="371">
        <f>Input!D13</f>
        <v>4500011424</v>
      </c>
    </row>
    <row r="22" spans="1:22" ht="24.4" customHeight="1" thickBot="1" x14ac:dyDescent="0.5">
      <c r="A22" s="215"/>
      <c r="B22" s="559"/>
      <c r="C22" s="372" t="s">
        <v>293</v>
      </c>
      <c r="D22" s="373" t="str">
        <f>Input!D9</f>
        <v>16 Desember 2025</v>
      </c>
      <c r="E22" s="374"/>
      <c r="F22" s="548" t="s">
        <v>299</v>
      </c>
      <c r="G22" s="549"/>
      <c r="H22" s="375">
        <f>Input!D14</f>
        <v>46204</v>
      </c>
    </row>
    <row r="23" spans="1:22" ht="6.4" customHeight="1" x14ac:dyDescent="0.45">
      <c r="B23" s="12"/>
      <c r="C23" s="14"/>
      <c r="D23" s="5"/>
      <c r="E23" s="5"/>
      <c r="F23" s="5"/>
      <c r="G23" s="5"/>
      <c r="H23" s="5"/>
    </row>
    <row r="24" spans="1:22" ht="49.15" customHeight="1" x14ac:dyDescent="0.45">
      <c r="A24" s="216"/>
      <c r="B24" s="217" t="s">
        <v>324</v>
      </c>
      <c r="C24" s="552" t="str">
        <f>Input!D15</f>
        <v>“Jasa Sewa Backhoe Loader Untuk support Kegiatan Operation &amp; Maintenance di Area Senoro dan Tiaka Periode Juli - September 2026, Refer CTR No. 7207250142-BSS-CTR-2026-019" (01 - 31 Juli 2026)</v>
      </c>
      <c r="D24" s="553"/>
      <c r="E24" s="553"/>
      <c r="F24" s="553"/>
      <c r="G24" s="553"/>
      <c r="H24" s="554"/>
    </row>
    <row r="25" spans="1:22" ht="26" customHeight="1" thickBot="1" x14ac:dyDescent="0.5">
      <c r="A25" s="533" t="s">
        <v>339</v>
      </c>
      <c r="B25" s="419"/>
      <c r="C25" s="419"/>
      <c r="D25" s="419"/>
      <c r="E25" s="419"/>
      <c r="F25" s="419"/>
      <c r="G25" s="419"/>
      <c r="H25" s="419"/>
    </row>
    <row r="26" spans="1:22" ht="28.05" customHeight="1" thickTop="1" thickBot="1" x14ac:dyDescent="0.5">
      <c r="A26" s="243" t="s">
        <v>326</v>
      </c>
      <c r="B26" s="550" t="s">
        <v>327</v>
      </c>
      <c r="C26" s="551"/>
      <c r="D26" s="550" t="s">
        <v>328</v>
      </c>
      <c r="E26" s="551"/>
      <c r="F26" s="244" t="s">
        <v>329</v>
      </c>
      <c r="G26" s="550" t="s">
        <v>330</v>
      </c>
      <c r="H26" s="551"/>
    </row>
    <row r="27" spans="1:22" ht="45.75" customHeight="1" thickBot="1" x14ac:dyDescent="0.5">
      <c r="A27" s="218">
        <v>1</v>
      </c>
      <c r="B27" s="541" t="str">
        <f>'Rincian Pek'!C17</f>
        <v>Jasa Sewa Alat Berat Monthly Basis (Include Operator, Rigger, Helper, BBM &amp; Sertifikasi), Backhoe Loader 70 - 100 HP</v>
      </c>
      <c r="C27" s="529"/>
      <c r="D27" s="534">
        <f>'Rincian Pek'!J17</f>
        <v>1</v>
      </c>
      <c r="E27" s="529"/>
      <c r="F27" s="219" t="str">
        <f>'Rincian Pek'!K17</f>
        <v>Month</v>
      </c>
      <c r="G27" s="528" t="s">
        <v>340</v>
      </c>
      <c r="H27" s="529"/>
    </row>
    <row r="28" spans="1:22" ht="22.15" customHeight="1" thickBot="1" x14ac:dyDescent="0.5">
      <c r="A28" s="220"/>
      <c r="B28" s="543"/>
      <c r="C28" s="537"/>
      <c r="D28" s="544"/>
      <c r="E28" s="537"/>
      <c r="F28" s="221"/>
      <c r="G28" s="536"/>
      <c r="H28" s="537"/>
    </row>
    <row r="29" spans="1:22" ht="12" customHeight="1" thickTop="1" x14ac:dyDescent="0.45"/>
    <row r="30" spans="1:22" ht="26" customHeight="1" x14ac:dyDescent="0.45">
      <c r="A30" s="525" t="s">
        <v>341</v>
      </c>
      <c r="B30" s="419"/>
      <c r="C30" s="419"/>
      <c r="D30" s="419"/>
      <c r="E30" s="419"/>
      <c r="F30" s="419"/>
      <c r="G30" s="419"/>
      <c r="H30" s="419"/>
    </row>
    <row r="31" spans="1:22" ht="15" customHeight="1" x14ac:dyDescent="0.45"/>
    <row r="32" spans="1:22" ht="15" customHeight="1" x14ac:dyDescent="0.45"/>
    <row r="33" spans="1:8" ht="15" customHeight="1" x14ac:dyDescent="0.45"/>
    <row r="34" spans="1:8" ht="15" customHeight="1" x14ac:dyDescent="0.45"/>
    <row r="35" spans="1:8" ht="15" customHeight="1" x14ac:dyDescent="0.45"/>
    <row r="36" spans="1:8" ht="15" customHeight="1" x14ac:dyDescent="0.45"/>
    <row r="37" spans="1:8" ht="15" customHeight="1" x14ac:dyDescent="0.45"/>
    <row r="38" spans="1:8" ht="22.05" customHeight="1" x14ac:dyDescent="0.45">
      <c r="A38" s="527" t="s">
        <v>333</v>
      </c>
      <c r="B38" s="419"/>
      <c r="C38" s="419"/>
      <c r="D38" s="419"/>
      <c r="E38" s="199"/>
      <c r="F38" s="527" t="s">
        <v>334</v>
      </c>
      <c r="G38" s="419"/>
      <c r="H38" s="419"/>
    </row>
    <row r="39" spans="1:8" ht="20" customHeight="1" x14ac:dyDescent="0.45">
      <c r="A39" s="535" t="s">
        <v>16</v>
      </c>
      <c r="B39" s="419"/>
      <c r="C39" s="419"/>
      <c r="D39" s="419"/>
      <c r="E39" s="200"/>
      <c r="F39" s="535" t="s">
        <v>15</v>
      </c>
      <c r="G39" s="419"/>
      <c r="H39" s="419"/>
    </row>
    <row r="40" spans="1:8" ht="18" customHeight="1" x14ac:dyDescent="0.45"/>
    <row r="41" spans="1:8" ht="18" customHeight="1" x14ac:dyDescent="0.45"/>
    <row r="42" spans="1:8" ht="18" customHeight="1" x14ac:dyDescent="0.45"/>
    <row r="43" spans="1:8" ht="22.05" customHeight="1" x14ac:dyDescent="0.45">
      <c r="A43" s="539" t="str">
        <f>C11</f>
        <v>Ronny Dwi Purnomo / Rafik Hidayat</v>
      </c>
      <c r="B43" s="419"/>
      <c r="C43" s="419"/>
      <c r="D43" s="419"/>
      <c r="E43" s="197"/>
      <c r="F43" s="539" t="s">
        <v>108</v>
      </c>
      <c r="G43" s="419"/>
      <c r="H43" s="419"/>
    </row>
    <row r="44" spans="1:8" ht="20" customHeight="1" x14ac:dyDescent="0.45">
      <c r="A44" s="538" t="str">
        <f>C12</f>
        <v>Maintenance Support Supervisor</v>
      </c>
      <c r="B44" s="419"/>
      <c r="C44" s="419"/>
      <c r="D44" s="419"/>
      <c r="E44" s="198"/>
      <c r="F44" s="538" t="s">
        <v>273</v>
      </c>
      <c r="G44" s="419"/>
      <c r="H44" s="419"/>
    </row>
    <row r="45" spans="1:8" ht="20" customHeight="1" x14ac:dyDescent="0.45">
      <c r="A45" s="198"/>
      <c r="B45" s="198"/>
      <c r="C45" s="198"/>
      <c r="D45" s="198"/>
      <c r="E45" s="198"/>
      <c r="F45" s="198"/>
      <c r="G45" s="198"/>
      <c r="H45" s="198"/>
    </row>
    <row r="46" spans="1:8" ht="20" customHeight="1" x14ac:dyDescent="0.45">
      <c r="A46" s="198"/>
      <c r="B46" s="198"/>
      <c r="C46" s="198"/>
      <c r="D46" s="198"/>
      <c r="E46" s="198"/>
      <c r="F46" s="198"/>
      <c r="G46" s="198"/>
      <c r="H46" s="198"/>
    </row>
    <row r="47" spans="1:8" ht="20" customHeight="1" x14ac:dyDescent="0.45">
      <c r="A47" s="198"/>
      <c r="B47" s="198"/>
      <c r="C47" s="198"/>
      <c r="D47" s="198"/>
      <c r="E47" s="198"/>
      <c r="F47" s="198"/>
      <c r="G47" s="198"/>
      <c r="H47" s="198"/>
    </row>
    <row r="48" spans="1:8" ht="20" customHeight="1" x14ac:dyDescent="0.45">
      <c r="A48" s="540" t="s">
        <v>342</v>
      </c>
      <c r="B48" s="419"/>
      <c r="C48" s="419"/>
    </row>
    <row r="49" spans="2:8" hidden="1" x14ac:dyDescent="0.45">
      <c r="C49" t="s">
        <v>108</v>
      </c>
      <c r="F49" t="s">
        <v>336</v>
      </c>
    </row>
    <row r="50" spans="2:8" hidden="1" x14ac:dyDescent="0.45">
      <c r="C50" t="s">
        <v>20</v>
      </c>
      <c r="F50" t="s">
        <v>337</v>
      </c>
    </row>
    <row r="51" spans="2:8" hidden="1" x14ac:dyDescent="0.45">
      <c r="C51" t="s">
        <v>273</v>
      </c>
    </row>
    <row r="52" spans="2:8" hidden="1" x14ac:dyDescent="0.45">
      <c r="C52" t="s">
        <v>178</v>
      </c>
    </row>
    <row r="53" spans="2:8" ht="16.5" customHeight="1" x14ac:dyDescent="0.45">
      <c r="B53" s="539"/>
      <c r="C53" s="419"/>
    </row>
    <row r="55" spans="2:8" ht="16.5" customHeight="1" x14ac:dyDescent="0.45">
      <c r="F55" s="527"/>
      <c r="G55" s="419"/>
      <c r="H55" s="419"/>
    </row>
    <row r="56" spans="2:8" ht="16.5" customHeight="1" x14ac:dyDescent="0.45">
      <c r="F56" s="535"/>
      <c r="G56" s="419"/>
      <c r="H56" s="419"/>
    </row>
    <row r="60" spans="2:8" ht="16.5" customHeight="1" x14ac:dyDescent="0.45">
      <c r="F60" s="539"/>
      <c r="G60" s="419"/>
      <c r="H60" s="419"/>
    </row>
    <row r="61" spans="2:8" ht="16.5" customHeight="1" x14ac:dyDescent="0.45">
      <c r="F61" s="538"/>
      <c r="G61" s="419"/>
      <c r="H61" s="419"/>
    </row>
  </sheetData>
  <mergeCells count="42">
    <mergeCell ref="A2:H2"/>
    <mergeCell ref="B28:C28"/>
    <mergeCell ref="D28:E28"/>
    <mergeCell ref="A14:H14"/>
    <mergeCell ref="C18:H18"/>
    <mergeCell ref="F22:G22"/>
    <mergeCell ref="A8:H8"/>
    <mergeCell ref="G26:H26"/>
    <mergeCell ref="C15:H15"/>
    <mergeCell ref="C24:H24"/>
    <mergeCell ref="A20:H20"/>
    <mergeCell ref="B26:C26"/>
    <mergeCell ref="D26:E26"/>
    <mergeCell ref="B21:B22"/>
    <mergeCell ref="C12:H12"/>
    <mergeCell ref="A6:H6"/>
    <mergeCell ref="F56:H56"/>
    <mergeCell ref="G28:H28"/>
    <mergeCell ref="C17:H17"/>
    <mergeCell ref="F61:H61"/>
    <mergeCell ref="F39:H39"/>
    <mergeCell ref="B53:C53"/>
    <mergeCell ref="F60:H60"/>
    <mergeCell ref="F44:H44"/>
    <mergeCell ref="A48:C48"/>
    <mergeCell ref="F55:H55"/>
    <mergeCell ref="A43:D43"/>
    <mergeCell ref="B27:C27"/>
    <mergeCell ref="A44:D44"/>
    <mergeCell ref="A39:D39"/>
    <mergeCell ref="F43:H43"/>
    <mergeCell ref="C10:H10"/>
    <mergeCell ref="C16:H16"/>
    <mergeCell ref="A30:H30"/>
    <mergeCell ref="C9:H9"/>
    <mergeCell ref="A38:D38"/>
    <mergeCell ref="G27:H27"/>
    <mergeCell ref="C11:H11"/>
    <mergeCell ref="F21:G21"/>
    <mergeCell ref="F38:H38"/>
    <mergeCell ref="A25:H25"/>
    <mergeCell ref="D27:E27"/>
  </mergeCells>
  <conditionalFormatting sqref="A27:D28 F27:G28">
    <cfRule type="expression" dxfId="1" priority="1">
      <formula>ISODD(ROW())</formula>
    </cfRule>
    <cfRule type="expression" dxfId="0" priority="2">
      <formula>ISODD(ROW())</formula>
    </cfRule>
  </conditionalFormatting>
  <dataValidations count="4">
    <dataValidation type="list" allowBlank="1" showInputMessage="1" showErrorMessage="1" sqref="C22 F22:G22" xr:uid="{00000000-0002-0000-0800-000000000000}">
      <formula1>$U$11:$U$19</formula1>
    </dataValidation>
    <dataValidation type="list" allowBlank="1" showInputMessage="1" showErrorMessage="1" sqref="C21 F21:G21" xr:uid="{00000000-0002-0000-0800-000001000000}">
      <formula1>$K$11:$K$25</formula1>
    </dataValidation>
    <dataValidation type="list" allowBlank="1" showInputMessage="1" showErrorMessage="1" sqref="C18:H18 F44:H47 F61:H61" xr:uid="{00000000-0002-0000-0800-000002000000}">
      <formula1>$C$51:$C$52</formula1>
    </dataValidation>
    <dataValidation type="list" allowBlank="1" showInputMessage="1" showErrorMessage="1" sqref="F43:H43 F60:H60" xr:uid="{00000000-0002-0000-0800-000003000000}">
      <formula1>$C$49:$C$50</formula1>
    </dataValidation>
  </dataValidations>
  <printOptions horizontalCentered="1"/>
  <pageMargins left="0.15748031496062989" right="0.15748031496062989" top="0.59055118110236227" bottom="0.19685039370078741" header="0.51181102362204722" footer="0.51181102362204722"/>
  <pageSetup paperSize="9" scale="85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B1:AY39"/>
  <sheetViews>
    <sheetView showGridLines="0" tabSelected="1" view="pageBreakPreview" zoomScale="85" zoomScaleNormal="100" zoomScaleSheetLayoutView="85" workbookViewId="0">
      <selection activeCell="AY22" sqref="AY22"/>
    </sheetView>
  </sheetViews>
  <sheetFormatPr defaultColWidth="9.1328125" defaultRowHeight="14.25" x14ac:dyDescent="0.45"/>
  <cols>
    <col min="1" max="1" width="0.86328125" style="116" customWidth="1"/>
    <col min="2" max="2" width="1.1328125" style="116" customWidth="1"/>
    <col min="3" max="4" width="1.59765625" style="116" customWidth="1"/>
    <col min="5" max="44" width="3.3984375" style="116" customWidth="1"/>
    <col min="45" max="45" width="4.1328125" style="116" customWidth="1"/>
    <col min="46" max="46" width="4.86328125" style="116" customWidth="1"/>
    <col min="47" max="48" width="3.3984375" style="116" customWidth="1"/>
    <col min="49" max="49" width="0.59765625" style="116" customWidth="1"/>
    <col min="50" max="50" width="3.3984375" style="116" customWidth="1"/>
    <col min="51" max="51" width="5.265625" style="116" customWidth="1"/>
    <col min="52" max="52" width="9.1328125" style="116" customWidth="1"/>
    <col min="53" max="16384" width="9.1328125" style="116"/>
  </cols>
  <sheetData>
    <row r="1" spans="2:51" ht="6" customHeight="1" thickBot="1" x14ac:dyDescent="0.5"/>
    <row r="2" spans="2:51" ht="6" customHeight="1" x14ac:dyDescent="0.45">
      <c r="B2" s="117"/>
      <c r="C2" s="377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  <c r="AA2" s="378"/>
      <c r="AB2" s="378"/>
      <c r="AC2" s="378"/>
      <c r="AD2" s="378"/>
      <c r="AE2" s="378"/>
      <c r="AF2" s="378"/>
      <c r="AG2" s="378"/>
      <c r="AH2" s="378"/>
      <c r="AI2" s="378"/>
      <c r="AJ2" s="378"/>
      <c r="AK2" s="378"/>
      <c r="AL2" s="378"/>
      <c r="AM2" s="378"/>
      <c r="AN2" s="378"/>
      <c r="AO2" s="378"/>
      <c r="AP2" s="378"/>
      <c r="AQ2" s="378"/>
      <c r="AR2" s="378"/>
      <c r="AS2" s="378"/>
      <c r="AT2" s="378"/>
      <c r="AU2" s="378"/>
      <c r="AV2" s="378"/>
      <c r="AW2" s="118"/>
    </row>
    <row r="3" spans="2:51" x14ac:dyDescent="0.45">
      <c r="B3" s="119"/>
      <c r="C3" s="397" t="s">
        <v>343</v>
      </c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0"/>
      <c r="AP3" s="380"/>
      <c r="AQ3" s="380"/>
      <c r="AR3" s="380"/>
      <c r="AS3" s="380"/>
      <c r="AT3" s="380"/>
      <c r="AU3" s="380"/>
      <c r="AV3" s="380"/>
      <c r="AW3" s="120"/>
    </row>
    <row r="4" spans="2:51" ht="2.25" customHeight="1" thickBot="1" x14ac:dyDescent="0.5">
      <c r="B4" s="121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3"/>
    </row>
    <row r="5" spans="2:51" ht="6" customHeight="1" thickTop="1" x14ac:dyDescent="0.45">
      <c r="B5" s="124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6"/>
    </row>
    <row r="6" spans="2:51" ht="20.25" customHeight="1" x14ac:dyDescent="0.55000000000000004">
      <c r="B6" s="119"/>
      <c r="C6" s="398" t="s">
        <v>344</v>
      </c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0"/>
      <c r="AO6" s="380"/>
      <c r="AP6" s="380"/>
      <c r="AQ6" s="380"/>
      <c r="AR6" s="380"/>
      <c r="AS6" s="380"/>
      <c r="AT6" s="380"/>
      <c r="AU6" s="380"/>
      <c r="AV6" s="380"/>
      <c r="AW6" s="120"/>
    </row>
    <row r="7" spans="2:51" x14ac:dyDescent="0.45">
      <c r="B7" s="119"/>
      <c r="AC7" s="127"/>
      <c r="AD7" s="127"/>
      <c r="AE7" s="128"/>
      <c r="AF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W7" s="120"/>
    </row>
    <row r="8" spans="2:51" x14ac:dyDescent="0.45">
      <c r="B8" s="119"/>
      <c r="C8" s="127" t="s">
        <v>345</v>
      </c>
      <c r="D8" s="127"/>
      <c r="E8" s="129"/>
      <c r="F8" s="129"/>
      <c r="G8" s="129"/>
      <c r="H8" s="129"/>
      <c r="I8" s="129"/>
      <c r="J8" s="129"/>
      <c r="K8" s="129"/>
      <c r="L8" s="129"/>
      <c r="M8" s="129"/>
      <c r="N8" s="130" t="s">
        <v>7</v>
      </c>
      <c r="O8" s="379" t="str">
        <f>Input!D16</f>
        <v>JOB Pertamina - Medco E&amp;P Tomori Sulawesi</v>
      </c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  <c r="AA8" s="380"/>
      <c r="AB8" s="380"/>
      <c r="AC8" s="380"/>
      <c r="AD8" s="380"/>
      <c r="AE8" s="380"/>
      <c r="AF8" s="380"/>
      <c r="AG8" s="380"/>
      <c r="AH8" s="380"/>
      <c r="AI8" s="127"/>
      <c r="AK8" s="128"/>
      <c r="AN8" s="131"/>
      <c r="AO8" s="407"/>
      <c r="AP8" s="380"/>
      <c r="AQ8" s="380"/>
      <c r="AR8" s="380"/>
      <c r="AS8" s="380"/>
      <c r="AT8" s="380"/>
      <c r="AU8" s="380"/>
      <c r="AV8" s="380"/>
      <c r="AW8" s="132"/>
      <c r="AX8" s="133"/>
    </row>
    <row r="9" spans="2:51" x14ac:dyDescent="0.45">
      <c r="B9" s="119"/>
      <c r="C9" s="127" t="s">
        <v>346</v>
      </c>
      <c r="D9" s="127"/>
      <c r="E9" s="129"/>
      <c r="F9" s="129"/>
      <c r="G9" s="129"/>
      <c r="H9" s="129"/>
      <c r="I9" s="129"/>
      <c r="J9" s="129"/>
      <c r="K9" s="129"/>
      <c r="L9" s="129"/>
      <c r="M9" s="129"/>
      <c r="N9" s="130" t="s">
        <v>7</v>
      </c>
      <c r="O9" s="379" t="str">
        <f>Input!D6</f>
        <v>7207250142</v>
      </c>
      <c r="P9" s="380"/>
      <c r="Q9" s="380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27"/>
      <c r="AK9" s="128"/>
      <c r="AN9" s="131"/>
      <c r="AO9" s="402"/>
      <c r="AP9" s="380"/>
      <c r="AQ9" s="380"/>
      <c r="AR9" s="380"/>
      <c r="AS9" s="380"/>
      <c r="AT9" s="380"/>
      <c r="AU9" s="380"/>
      <c r="AV9" s="380"/>
      <c r="AW9" s="132"/>
      <c r="AX9" s="133"/>
    </row>
    <row r="10" spans="2:51" x14ac:dyDescent="0.45">
      <c r="B10" s="119"/>
      <c r="C10" s="127" t="s">
        <v>347</v>
      </c>
      <c r="D10" s="127"/>
      <c r="E10" s="129"/>
      <c r="F10" s="129"/>
      <c r="G10" s="129"/>
      <c r="H10" s="129"/>
      <c r="I10" s="129"/>
      <c r="J10" s="129"/>
      <c r="K10" s="129"/>
      <c r="L10" s="129"/>
      <c r="M10" s="129"/>
      <c r="N10" s="130" t="s">
        <v>7</v>
      </c>
      <c r="O10" s="379" t="str">
        <f>Input!D8</f>
        <v>Jasa Sewa Alat Berat Pendukung Operasional Senoro dan Tiaka</v>
      </c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0"/>
      <c r="AB10" s="380"/>
      <c r="AC10" s="380"/>
      <c r="AD10" s="380"/>
      <c r="AE10" s="380"/>
      <c r="AF10" s="380"/>
      <c r="AG10" s="380"/>
      <c r="AH10" s="380"/>
      <c r="AI10" s="127"/>
      <c r="AK10" s="135"/>
      <c r="AL10" s="130"/>
      <c r="AM10" s="129"/>
      <c r="AN10" s="136"/>
      <c r="AO10" s="402"/>
      <c r="AP10" s="380"/>
      <c r="AQ10" s="380"/>
      <c r="AR10" s="380"/>
      <c r="AS10" s="380"/>
      <c r="AT10" s="380"/>
      <c r="AU10" s="380"/>
      <c r="AV10" s="380"/>
      <c r="AW10" s="132"/>
      <c r="AX10" s="133"/>
    </row>
    <row r="11" spans="2:51" ht="30" customHeight="1" x14ac:dyDescent="0.45">
      <c r="B11" s="119"/>
      <c r="C11" s="353" t="s">
        <v>348</v>
      </c>
      <c r="D11" s="127"/>
      <c r="E11" s="129"/>
      <c r="F11" s="129"/>
      <c r="G11" s="129"/>
      <c r="H11" s="129"/>
      <c r="I11" s="129"/>
      <c r="J11" s="129"/>
      <c r="K11" s="129"/>
      <c r="L11" s="129"/>
      <c r="M11" s="129"/>
      <c r="N11" s="354" t="s">
        <v>7</v>
      </c>
      <c r="O11" s="391" t="str">
        <f>Input!D15</f>
        <v>“Jasa Sewa Backhoe Loader Untuk support Kegiatan Operation &amp; Maintenance di Area Senoro dan Tiaka Periode Juli - September 2026, Refer CTR No. 7207250142-BSS-CTR-2026-019" (01 - 31 Juli 2026)</v>
      </c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  <c r="AC11" s="380"/>
      <c r="AD11" s="380"/>
      <c r="AE11" s="380"/>
      <c r="AF11" s="380"/>
      <c r="AG11" s="380"/>
      <c r="AH11" s="380"/>
      <c r="AI11" s="380"/>
      <c r="AJ11" s="380"/>
      <c r="AK11" s="380"/>
      <c r="AL11" s="380"/>
      <c r="AM11" s="380"/>
      <c r="AN11" s="380"/>
      <c r="AO11" s="380"/>
      <c r="AP11" s="380"/>
      <c r="AQ11" s="380"/>
      <c r="AR11" s="380"/>
      <c r="AS11" s="380"/>
      <c r="AT11" s="380"/>
      <c r="AU11" s="380"/>
      <c r="AV11" s="380"/>
      <c r="AW11" s="120"/>
    </row>
    <row r="12" spans="2:51" x14ac:dyDescent="0.45">
      <c r="B12" s="119"/>
      <c r="C12" s="127" t="s">
        <v>349</v>
      </c>
      <c r="N12" s="116" t="s">
        <v>7</v>
      </c>
      <c r="O12" s="127" t="str">
        <f>Input!D24</f>
        <v>01 s/d 31 Juli 2026</v>
      </c>
      <c r="P12" s="127"/>
      <c r="Q12" s="127"/>
      <c r="R12" s="127"/>
      <c r="S12" s="127"/>
      <c r="T12" s="129"/>
      <c r="AH12" s="128"/>
      <c r="AI12" s="128"/>
      <c r="AJ12" s="128"/>
      <c r="AK12" s="128"/>
      <c r="AL12" s="128"/>
      <c r="AM12" s="128"/>
      <c r="AN12" s="128"/>
      <c r="AO12" s="128"/>
      <c r="AP12" s="128"/>
      <c r="AW12" s="120"/>
    </row>
    <row r="13" spans="2:51" x14ac:dyDescent="0.45">
      <c r="B13" s="119"/>
      <c r="C13" s="127"/>
      <c r="AH13" s="128"/>
      <c r="AI13" s="128"/>
      <c r="AJ13" s="128"/>
      <c r="AK13" s="128"/>
      <c r="AL13" s="128"/>
      <c r="AM13" s="128"/>
      <c r="AN13" s="128"/>
      <c r="AO13" s="128"/>
      <c r="AP13" s="128"/>
      <c r="AW13" s="120"/>
    </row>
    <row r="14" spans="2:51" x14ac:dyDescent="0.45">
      <c r="B14" s="119"/>
      <c r="C14" s="381" t="s">
        <v>125</v>
      </c>
      <c r="D14" s="382"/>
      <c r="E14" s="382"/>
      <c r="F14" s="382"/>
      <c r="G14" s="382"/>
      <c r="H14" s="382"/>
      <c r="I14" s="382"/>
      <c r="J14" s="382"/>
      <c r="K14" s="382"/>
      <c r="L14" s="382"/>
      <c r="M14" s="383"/>
      <c r="N14" s="137">
        <v>1</v>
      </c>
      <c r="O14" s="137">
        <v>2</v>
      </c>
      <c r="P14" s="137">
        <f t="shared" ref="P14:AR14" si="0">O14+1</f>
        <v>3</v>
      </c>
      <c r="Q14" s="137">
        <f t="shared" si="0"/>
        <v>4</v>
      </c>
      <c r="R14" s="137">
        <f t="shared" si="0"/>
        <v>5</v>
      </c>
      <c r="S14" s="137">
        <f t="shared" si="0"/>
        <v>6</v>
      </c>
      <c r="T14" s="137">
        <f t="shared" si="0"/>
        <v>7</v>
      </c>
      <c r="U14" s="137">
        <f t="shared" si="0"/>
        <v>8</v>
      </c>
      <c r="V14" s="137">
        <f t="shared" si="0"/>
        <v>9</v>
      </c>
      <c r="W14" s="137">
        <f t="shared" si="0"/>
        <v>10</v>
      </c>
      <c r="X14" s="137">
        <f t="shared" si="0"/>
        <v>11</v>
      </c>
      <c r="Y14" s="137">
        <f t="shared" si="0"/>
        <v>12</v>
      </c>
      <c r="Z14" s="137">
        <f t="shared" si="0"/>
        <v>13</v>
      </c>
      <c r="AA14" s="137">
        <f t="shared" si="0"/>
        <v>14</v>
      </c>
      <c r="AB14" s="137">
        <f t="shared" si="0"/>
        <v>15</v>
      </c>
      <c r="AC14" s="137">
        <f t="shared" si="0"/>
        <v>16</v>
      </c>
      <c r="AD14" s="137">
        <f t="shared" si="0"/>
        <v>17</v>
      </c>
      <c r="AE14" s="137">
        <f t="shared" si="0"/>
        <v>18</v>
      </c>
      <c r="AF14" s="137">
        <f t="shared" si="0"/>
        <v>19</v>
      </c>
      <c r="AG14" s="137">
        <f t="shared" si="0"/>
        <v>20</v>
      </c>
      <c r="AH14" s="137">
        <f t="shared" si="0"/>
        <v>21</v>
      </c>
      <c r="AI14" s="137">
        <f t="shared" si="0"/>
        <v>22</v>
      </c>
      <c r="AJ14" s="137">
        <f t="shared" si="0"/>
        <v>23</v>
      </c>
      <c r="AK14" s="137">
        <f t="shared" si="0"/>
        <v>24</v>
      </c>
      <c r="AL14" s="137">
        <f t="shared" si="0"/>
        <v>25</v>
      </c>
      <c r="AM14" s="137">
        <f t="shared" si="0"/>
        <v>26</v>
      </c>
      <c r="AN14" s="137">
        <f t="shared" si="0"/>
        <v>27</v>
      </c>
      <c r="AO14" s="137">
        <f t="shared" si="0"/>
        <v>28</v>
      </c>
      <c r="AP14" s="137">
        <f t="shared" si="0"/>
        <v>29</v>
      </c>
      <c r="AQ14" s="137">
        <f t="shared" si="0"/>
        <v>30</v>
      </c>
      <c r="AR14" s="137">
        <f t="shared" si="0"/>
        <v>31</v>
      </c>
      <c r="AS14" s="381" t="s">
        <v>175</v>
      </c>
      <c r="AT14" s="382"/>
      <c r="AU14" s="382"/>
      <c r="AV14" s="383"/>
      <c r="AW14" s="120"/>
    </row>
    <row r="15" spans="2:51" x14ac:dyDescent="0.45">
      <c r="B15" s="119"/>
      <c r="C15" s="408" t="s">
        <v>80</v>
      </c>
      <c r="D15" s="385"/>
      <c r="E15" s="390" t="s">
        <v>350</v>
      </c>
      <c r="F15" s="385"/>
      <c r="G15" s="385"/>
      <c r="H15" s="385"/>
      <c r="I15" s="385"/>
      <c r="J15" s="385"/>
      <c r="K15" s="385"/>
      <c r="L15" s="385"/>
      <c r="M15" s="386"/>
      <c r="N15" s="394"/>
      <c r="O15" s="382"/>
      <c r="P15" s="382"/>
      <c r="Q15" s="382"/>
      <c r="R15" s="382"/>
      <c r="S15" s="382"/>
      <c r="T15" s="382"/>
      <c r="U15" s="382"/>
      <c r="V15" s="382"/>
      <c r="W15" s="382"/>
      <c r="X15" s="382"/>
      <c r="Y15" s="382"/>
      <c r="Z15" s="382"/>
      <c r="AA15" s="382"/>
      <c r="AB15" s="382"/>
      <c r="AC15" s="382"/>
      <c r="AD15" s="382"/>
      <c r="AE15" s="382"/>
      <c r="AF15" s="382"/>
      <c r="AG15" s="382"/>
      <c r="AH15" s="382"/>
      <c r="AI15" s="382"/>
      <c r="AJ15" s="382"/>
      <c r="AK15" s="382"/>
      <c r="AL15" s="382"/>
      <c r="AM15" s="382"/>
      <c r="AN15" s="382"/>
      <c r="AO15" s="382"/>
      <c r="AP15" s="382"/>
      <c r="AQ15" s="382"/>
      <c r="AR15" s="383"/>
      <c r="AS15" s="138" t="s">
        <v>351</v>
      </c>
      <c r="AT15" s="139" t="s">
        <v>352</v>
      </c>
      <c r="AU15" s="139" t="s">
        <v>353</v>
      </c>
      <c r="AV15" s="140" t="s">
        <v>354</v>
      </c>
      <c r="AW15" s="120"/>
    </row>
    <row r="16" spans="2:51" x14ac:dyDescent="0.45">
      <c r="B16" s="119"/>
      <c r="C16" s="392">
        <v>1</v>
      </c>
      <c r="D16" s="393"/>
      <c r="E16" s="141" t="s">
        <v>355</v>
      </c>
      <c r="F16" s="142"/>
      <c r="G16" s="142"/>
      <c r="H16" s="142"/>
      <c r="I16" s="142"/>
      <c r="J16" s="142"/>
      <c r="K16" s="142"/>
      <c r="L16" s="142"/>
      <c r="M16" s="142"/>
      <c r="N16" s="143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5"/>
      <c r="AS16" s="146"/>
      <c r="AT16" s="147"/>
      <c r="AU16" s="147"/>
      <c r="AV16" s="148"/>
      <c r="AW16" s="120"/>
      <c r="AY16" s="116" t="s">
        <v>356</v>
      </c>
    </row>
    <row r="17" spans="2:49" ht="24" customHeight="1" x14ac:dyDescent="0.45">
      <c r="B17" s="119"/>
      <c r="C17" s="403" t="s">
        <v>174</v>
      </c>
      <c r="D17" s="404"/>
      <c r="E17" s="399" t="s">
        <v>357</v>
      </c>
      <c r="F17" s="400"/>
      <c r="G17" s="400"/>
      <c r="H17" s="400"/>
      <c r="I17" s="400"/>
      <c r="J17" s="400"/>
      <c r="K17" s="400"/>
      <c r="L17" s="400"/>
      <c r="M17" s="401"/>
      <c r="N17" s="149" t="s">
        <v>352</v>
      </c>
      <c r="O17" s="145" t="s">
        <v>352</v>
      </c>
      <c r="P17" s="145" t="s">
        <v>351</v>
      </c>
      <c r="Q17" s="145" t="s">
        <v>352</v>
      </c>
      <c r="R17" s="145" t="s">
        <v>351</v>
      </c>
      <c r="S17" s="145" t="s">
        <v>351</v>
      </c>
      <c r="T17" s="145" t="s">
        <v>351</v>
      </c>
      <c r="U17" s="145" t="s">
        <v>351</v>
      </c>
      <c r="V17" s="145" t="s">
        <v>351</v>
      </c>
      <c r="W17" s="145" t="s">
        <v>351</v>
      </c>
      <c r="X17" s="145" t="s">
        <v>351</v>
      </c>
      <c r="Y17" s="145" t="s">
        <v>351</v>
      </c>
      <c r="Z17" s="145" t="s">
        <v>351</v>
      </c>
      <c r="AA17" s="145" t="s">
        <v>351</v>
      </c>
      <c r="AB17" s="145" t="s">
        <v>352</v>
      </c>
      <c r="AC17" s="145" t="s">
        <v>352</v>
      </c>
      <c r="AD17" s="145" t="s">
        <v>352</v>
      </c>
      <c r="AE17" s="145" t="s">
        <v>352</v>
      </c>
      <c r="AF17" s="145" t="s">
        <v>351</v>
      </c>
      <c r="AG17" s="145" t="s">
        <v>351</v>
      </c>
      <c r="AH17" s="145" t="s">
        <v>351</v>
      </c>
      <c r="AI17" s="145" t="s">
        <v>351</v>
      </c>
      <c r="AJ17" s="145" t="s">
        <v>352</v>
      </c>
      <c r="AK17" s="145" t="s">
        <v>352</v>
      </c>
      <c r="AL17" s="145" t="s">
        <v>351</v>
      </c>
      <c r="AM17" s="145" t="s">
        <v>352</v>
      </c>
      <c r="AN17" s="145" t="s">
        <v>352</v>
      </c>
      <c r="AO17" s="145" t="s">
        <v>351</v>
      </c>
      <c r="AP17" s="145" t="s">
        <v>352</v>
      </c>
      <c r="AQ17" s="145" t="s">
        <v>351</v>
      </c>
      <c r="AR17" s="145" t="s">
        <v>352</v>
      </c>
      <c r="AS17" s="150">
        <f>COUNTIF(N17:AR17, "O")</f>
        <v>18</v>
      </c>
      <c r="AT17" s="151">
        <f>COUNTIF(N17:AR17, "S")</f>
        <v>13</v>
      </c>
      <c r="AU17" s="152">
        <f>COUNTIF(N17:AR17, "R")</f>
        <v>0</v>
      </c>
      <c r="AV17" s="153">
        <f>COUNTIF(N17:AR17, "M")</f>
        <v>0</v>
      </c>
      <c r="AW17" s="120"/>
    </row>
    <row r="18" spans="2:49" ht="24" customHeight="1" x14ac:dyDescent="0.45">
      <c r="B18" s="119"/>
      <c r="C18" s="405"/>
      <c r="D18" s="406"/>
      <c r="E18" s="399"/>
      <c r="F18" s="400"/>
      <c r="G18" s="400"/>
      <c r="H18" s="400"/>
      <c r="I18" s="400"/>
      <c r="J18" s="400"/>
      <c r="K18" s="400"/>
      <c r="L18" s="400"/>
      <c r="M18" s="401"/>
      <c r="N18" s="154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45"/>
      <c r="AS18" s="156">
        <f>COUNTIF(N18:AR18, "O")</f>
        <v>0</v>
      </c>
      <c r="AT18" s="157">
        <f>COUNTIF(N18:AR18, "S")</f>
        <v>0</v>
      </c>
      <c r="AU18" s="158">
        <f>COUNTIF(N18:AR18, "R")</f>
        <v>0</v>
      </c>
      <c r="AV18" s="159">
        <f>COUNTIF(N18:AR18, "M")</f>
        <v>0</v>
      </c>
      <c r="AW18" s="120"/>
    </row>
    <row r="19" spans="2:49" ht="24" customHeight="1" x14ac:dyDescent="0.45">
      <c r="B19" s="119"/>
      <c r="C19" s="405"/>
      <c r="D19" s="406"/>
      <c r="E19" s="399"/>
      <c r="F19" s="400"/>
      <c r="G19" s="400"/>
      <c r="H19" s="400"/>
      <c r="I19" s="400"/>
      <c r="J19" s="400"/>
      <c r="K19" s="400"/>
      <c r="L19" s="400"/>
      <c r="M19" s="401"/>
      <c r="N19" s="154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45"/>
      <c r="AS19" s="156">
        <f>COUNTIF(N19:AR19, "O")</f>
        <v>0</v>
      </c>
      <c r="AT19" s="157">
        <f>COUNTIF(N19:AR19, "S")</f>
        <v>0</v>
      </c>
      <c r="AU19" s="158">
        <f>COUNTIF(N19:AR19, "R")</f>
        <v>0</v>
      </c>
      <c r="AV19" s="159">
        <f>COUNTIF(N19:AR19, "M")</f>
        <v>0</v>
      </c>
      <c r="AW19" s="120"/>
    </row>
    <row r="20" spans="2:49" ht="24" customHeight="1" x14ac:dyDescent="0.45">
      <c r="B20" s="119"/>
      <c r="C20" s="388"/>
      <c r="D20" s="389"/>
      <c r="E20" s="410"/>
      <c r="F20" s="411"/>
      <c r="G20" s="411"/>
      <c r="H20" s="411"/>
      <c r="I20" s="411"/>
      <c r="J20" s="411"/>
      <c r="K20" s="411"/>
      <c r="L20" s="411"/>
      <c r="M20" s="389"/>
      <c r="N20" s="160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2"/>
      <c r="AT20" s="163"/>
      <c r="AU20" s="164"/>
      <c r="AV20" s="165"/>
      <c r="AW20" s="120"/>
    </row>
    <row r="21" spans="2:49" ht="4.5" customHeight="1" x14ac:dyDescent="0.45">
      <c r="B21" s="119"/>
      <c r="C21" s="166"/>
      <c r="D21" s="166"/>
      <c r="E21" s="167"/>
      <c r="F21" s="167"/>
      <c r="G21" s="167"/>
      <c r="H21" s="167"/>
      <c r="I21" s="167"/>
      <c r="J21" s="167"/>
      <c r="K21" s="167"/>
      <c r="L21" s="167"/>
      <c r="M21" s="167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W21" s="120"/>
    </row>
    <row r="22" spans="2:49" x14ac:dyDescent="0.45">
      <c r="B22" s="119"/>
      <c r="D22" s="166"/>
      <c r="E22" s="395" t="s">
        <v>358</v>
      </c>
      <c r="F22" s="380"/>
      <c r="G22" s="380"/>
      <c r="H22" s="380"/>
      <c r="I22" s="380"/>
      <c r="J22" s="380"/>
      <c r="K22" s="380"/>
      <c r="L22" s="380"/>
      <c r="M22" s="167"/>
      <c r="N22" s="169" t="s">
        <v>351</v>
      </c>
      <c r="O22" s="170" t="s">
        <v>359</v>
      </c>
      <c r="P22" s="171"/>
      <c r="Q22" s="172"/>
      <c r="R22" s="169" t="s">
        <v>352</v>
      </c>
      <c r="S22" s="170" t="s">
        <v>360</v>
      </c>
      <c r="T22" s="172"/>
      <c r="U22" s="172"/>
      <c r="V22" s="169" t="s">
        <v>353</v>
      </c>
      <c r="W22" s="170" t="s">
        <v>361</v>
      </c>
      <c r="X22" s="172"/>
      <c r="Y22" s="172"/>
      <c r="Z22" s="169" t="s">
        <v>354</v>
      </c>
      <c r="AA22" s="170" t="s">
        <v>362</v>
      </c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3"/>
      <c r="AM22" s="409" t="s">
        <v>363</v>
      </c>
      <c r="AN22" s="382"/>
      <c r="AO22" s="382"/>
      <c r="AP22" s="382"/>
      <c r="AQ22" s="382"/>
      <c r="AR22" s="383"/>
      <c r="AS22" s="174">
        <f>SUM(AS16:AS20)</f>
        <v>18</v>
      </c>
      <c r="AT22" s="174">
        <f>SUM(AT16:AT20)</f>
        <v>13</v>
      </c>
      <c r="AU22" s="175">
        <f>SUM(AU16:AU20)</f>
        <v>0</v>
      </c>
      <c r="AV22" s="174">
        <f>SUM(AV16:AV20)</f>
        <v>0</v>
      </c>
      <c r="AW22" s="120"/>
    </row>
    <row r="23" spans="2:49" ht="12" customHeight="1" x14ac:dyDescent="0.45">
      <c r="B23" s="119"/>
      <c r="C23" s="166"/>
      <c r="D23" s="166"/>
      <c r="E23" s="176"/>
      <c r="F23" s="176"/>
      <c r="G23" s="176"/>
      <c r="H23" s="176"/>
      <c r="I23" s="176"/>
      <c r="J23" s="176"/>
      <c r="K23" s="176"/>
      <c r="L23" s="176"/>
      <c r="M23" s="176"/>
      <c r="AW23" s="120"/>
    </row>
    <row r="24" spans="2:49" ht="12" customHeight="1" x14ac:dyDescent="0.45">
      <c r="B24" s="119"/>
      <c r="C24" s="177" t="s">
        <v>364</v>
      </c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25"/>
      <c r="T24" s="125"/>
      <c r="U24" s="179"/>
      <c r="W24" s="396" t="s">
        <v>365</v>
      </c>
      <c r="X24" s="382"/>
      <c r="Y24" s="382"/>
      <c r="Z24" s="382"/>
      <c r="AA24" s="382"/>
      <c r="AB24" s="382"/>
      <c r="AC24" s="382"/>
      <c r="AD24" s="382"/>
      <c r="AE24" s="382"/>
      <c r="AF24" s="382"/>
      <c r="AG24" s="382"/>
      <c r="AH24" s="383"/>
      <c r="AI24" s="180"/>
      <c r="AJ24" s="396" t="s">
        <v>366</v>
      </c>
      <c r="AK24" s="382"/>
      <c r="AL24" s="382"/>
      <c r="AM24" s="382"/>
      <c r="AN24" s="382"/>
      <c r="AO24" s="382"/>
      <c r="AP24" s="382"/>
      <c r="AQ24" s="382"/>
      <c r="AR24" s="382"/>
      <c r="AS24" s="382"/>
      <c r="AT24" s="382"/>
      <c r="AU24" s="382"/>
      <c r="AV24" s="383"/>
      <c r="AW24" s="120"/>
    </row>
    <row r="25" spans="2:49" x14ac:dyDescent="0.45">
      <c r="B25" s="119"/>
      <c r="C25" s="181"/>
      <c r="D25" s="182"/>
      <c r="E25" s="387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0"/>
      <c r="U25" s="183"/>
      <c r="W25" s="184"/>
      <c r="X25" s="185"/>
      <c r="Y25" s="185"/>
      <c r="Z25" s="186"/>
      <c r="AA25" s="184"/>
      <c r="AB25" s="185"/>
      <c r="AC25" s="185"/>
      <c r="AD25" s="186"/>
      <c r="AE25" s="184"/>
      <c r="AF25" s="185"/>
      <c r="AG25" s="185"/>
      <c r="AH25" s="186"/>
      <c r="AI25" s="187"/>
      <c r="AJ25" s="384" t="s">
        <v>367</v>
      </c>
      <c r="AK25" s="385"/>
      <c r="AL25" s="385"/>
      <c r="AM25" s="386"/>
      <c r="AN25" s="384" t="s">
        <v>368</v>
      </c>
      <c r="AO25" s="385"/>
      <c r="AP25" s="385"/>
      <c r="AQ25" s="386"/>
      <c r="AR25" s="384" t="s">
        <v>369</v>
      </c>
      <c r="AS25" s="385"/>
      <c r="AT25" s="385"/>
      <c r="AU25" s="385"/>
      <c r="AV25" s="386"/>
      <c r="AW25" s="120"/>
    </row>
    <row r="26" spans="2:49" ht="13.5" customHeight="1" x14ac:dyDescent="0.45">
      <c r="B26" s="119"/>
      <c r="C26" s="181"/>
      <c r="E26" s="387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183"/>
      <c r="W26" s="181"/>
      <c r="Z26" s="183"/>
      <c r="AA26" s="181"/>
      <c r="AD26" s="183"/>
      <c r="AE26" s="181"/>
      <c r="AH26" s="183"/>
      <c r="AJ26" s="181"/>
      <c r="AM26" s="183"/>
      <c r="AN26" s="181"/>
      <c r="AQ26" s="183"/>
      <c r="AR26" s="181"/>
      <c r="AV26" s="183"/>
      <c r="AW26" s="120"/>
    </row>
    <row r="27" spans="2:49" ht="4.5" customHeight="1" x14ac:dyDescent="0.45">
      <c r="B27" s="119"/>
      <c r="C27" s="188"/>
      <c r="U27" s="183"/>
      <c r="W27" s="181"/>
      <c r="Z27" s="183"/>
      <c r="AA27" s="181"/>
      <c r="AD27" s="183"/>
      <c r="AE27" s="181"/>
      <c r="AH27" s="183"/>
      <c r="AJ27" s="181"/>
      <c r="AM27" s="183"/>
      <c r="AN27" s="181"/>
      <c r="AQ27" s="183"/>
      <c r="AR27" s="181"/>
      <c r="AV27" s="183"/>
      <c r="AW27" s="120"/>
    </row>
    <row r="28" spans="2:49" ht="14.25" customHeight="1" x14ac:dyDescent="0.45">
      <c r="B28" s="119"/>
      <c r="C28" s="181"/>
      <c r="U28" s="183"/>
      <c r="W28" s="181"/>
      <c r="Z28" s="183"/>
      <c r="AA28" s="181"/>
      <c r="AD28" s="183"/>
      <c r="AE28" s="181"/>
      <c r="AH28" s="183"/>
      <c r="AJ28" s="181"/>
      <c r="AM28" s="183"/>
      <c r="AN28" s="181"/>
      <c r="AQ28" s="183"/>
      <c r="AR28" s="181"/>
      <c r="AV28" s="183"/>
      <c r="AW28" s="120"/>
    </row>
    <row r="29" spans="2:49" ht="3" customHeight="1" x14ac:dyDescent="0.45">
      <c r="B29" s="119"/>
      <c r="C29" s="188"/>
      <c r="U29" s="183"/>
      <c r="W29" s="181"/>
      <c r="Z29" s="183"/>
      <c r="AA29" s="181"/>
      <c r="AD29" s="183"/>
      <c r="AE29" s="181"/>
      <c r="AH29" s="183"/>
      <c r="AJ29" s="181"/>
      <c r="AM29" s="183"/>
      <c r="AN29" s="181"/>
      <c r="AQ29" s="183"/>
      <c r="AR29" s="181"/>
      <c r="AV29" s="183"/>
      <c r="AW29" s="120"/>
    </row>
    <row r="30" spans="2:49" ht="3.75" customHeight="1" x14ac:dyDescent="0.45">
      <c r="B30" s="119"/>
      <c r="C30" s="188"/>
      <c r="U30" s="183"/>
      <c r="W30" s="181"/>
      <c r="Z30" s="183"/>
      <c r="AA30" s="181"/>
      <c r="AD30" s="183"/>
      <c r="AE30" s="181"/>
      <c r="AH30" s="183"/>
      <c r="AJ30" s="181"/>
      <c r="AM30" s="183"/>
      <c r="AN30" s="181"/>
      <c r="AQ30" s="183"/>
      <c r="AR30" s="181"/>
      <c r="AV30" s="183"/>
      <c r="AW30" s="120"/>
    </row>
    <row r="31" spans="2:49" ht="14.25" customHeight="1" x14ac:dyDescent="0.45">
      <c r="B31" s="119"/>
      <c r="C31" s="181"/>
      <c r="U31" s="183"/>
      <c r="W31" s="189"/>
      <c r="X31" s="190"/>
      <c r="Y31" s="190"/>
      <c r="Z31" s="191"/>
      <c r="AA31" s="189"/>
      <c r="AB31" s="190"/>
      <c r="AC31" s="190"/>
      <c r="AD31" s="191"/>
      <c r="AE31" s="189"/>
      <c r="AF31" s="190"/>
      <c r="AG31" s="190"/>
      <c r="AH31" s="191"/>
      <c r="AJ31" s="412" t="s">
        <v>370</v>
      </c>
      <c r="AK31" s="413"/>
      <c r="AL31" s="413"/>
      <c r="AM31" s="414"/>
      <c r="AN31" s="412" t="s">
        <v>371</v>
      </c>
      <c r="AO31" s="413"/>
      <c r="AP31" s="413"/>
      <c r="AQ31" s="414"/>
      <c r="AR31" s="412" t="s">
        <v>20</v>
      </c>
      <c r="AS31" s="413"/>
      <c r="AT31" s="413"/>
      <c r="AU31" s="413"/>
      <c r="AV31" s="414"/>
      <c r="AW31" s="120"/>
    </row>
    <row r="32" spans="2:49" ht="3.75" customHeight="1" x14ac:dyDescent="0.45">
      <c r="B32" s="119"/>
      <c r="C32" s="192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1"/>
      <c r="AW32" s="120"/>
    </row>
    <row r="33" spans="2:49" ht="6" customHeight="1" thickBot="1" x14ac:dyDescent="0.5">
      <c r="B33" s="193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5"/>
    </row>
    <row r="34" spans="2:49" ht="12.95" customHeight="1" x14ac:dyDescent="0.45">
      <c r="B34" s="168" t="s">
        <v>372</v>
      </c>
    </row>
    <row r="36" spans="2:49" x14ac:dyDescent="0.45">
      <c r="AJ36" s="116" t="s">
        <v>370</v>
      </c>
      <c r="AO36" s="116" t="s">
        <v>371</v>
      </c>
      <c r="AS36" s="116" t="s">
        <v>20</v>
      </c>
    </row>
    <row r="37" spans="2:49" x14ac:dyDescent="0.45">
      <c r="AJ37" s="116" t="s">
        <v>373</v>
      </c>
      <c r="AO37" s="116" t="s">
        <v>374</v>
      </c>
      <c r="AS37" s="116" t="s">
        <v>374</v>
      </c>
    </row>
    <row r="38" spans="2:49" x14ac:dyDescent="0.45">
      <c r="AJ38" s="116" t="s">
        <v>375</v>
      </c>
      <c r="AO38" s="116" t="s">
        <v>373</v>
      </c>
    </row>
    <row r="39" spans="2:49" x14ac:dyDescent="0.45">
      <c r="AJ39" s="116" t="s">
        <v>376</v>
      </c>
      <c r="AO39" s="116" t="s">
        <v>376</v>
      </c>
    </row>
  </sheetData>
  <mergeCells count="36">
    <mergeCell ref="AJ31:AM31"/>
    <mergeCell ref="AR31:AV31"/>
    <mergeCell ref="AN31:AQ31"/>
    <mergeCell ref="E19:M19"/>
    <mergeCell ref="E26:T26"/>
    <mergeCell ref="O8:AH8"/>
    <mergeCell ref="W24:AH24"/>
    <mergeCell ref="AO8:AV8"/>
    <mergeCell ref="C15:D15"/>
    <mergeCell ref="E17:M17"/>
    <mergeCell ref="AM22:AR22"/>
    <mergeCell ref="C18:D18"/>
    <mergeCell ref="E20:M20"/>
    <mergeCell ref="E18:M18"/>
    <mergeCell ref="AO10:AV10"/>
    <mergeCell ref="C17:D17"/>
    <mergeCell ref="AN25:AQ25"/>
    <mergeCell ref="AO9:AV9"/>
    <mergeCell ref="C19:D19"/>
    <mergeCell ref="O9:Q9"/>
    <mergeCell ref="C2:AV2"/>
    <mergeCell ref="O10:AH10"/>
    <mergeCell ref="C14:M14"/>
    <mergeCell ref="AJ25:AM25"/>
    <mergeCell ref="E25:T25"/>
    <mergeCell ref="C20:D20"/>
    <mergeCell ref="E15:M15"/>
    <mergeCell ref="O11:AV11"/>
    <mergeCell ref="C16:D16"/>
    <mergeCell ref="AS14:AV14"/>
    <mergeCell ref="N15:AR15"/>
    <mergeCell ref="E22:L22"/>
    <mergeCell ref="AJ24:AV24"/>
    <mergeCell ref="C3:AV3"/>
    <mergeCell ref="AR25:AV25"/>
    <mergeCell ref="C6:AV6"/>
  </mergeCells>
  <dataValidations count="3">
    <dataValidation type="list" allowBlank="1" showInputMessage="1" showErrorMessage="1" sqref="AJ31:AM31" xr:uid="{00000000-0002-0000-0900-000000000000}">
      <formula1>$AJ$36:$AJ$42</formula1>
    </dataValidation>
    <dataValidation type="list" allowBlank="1" showInputMessage="1" showErrorMessage="1" sqref="AN31:AQ31" xr:uid="{00000000-0002-0000-0900-000001000000}">
      <formula1>$AO$36:$AO$41</formula1>
    </dataValidation>
    <dataValidation type="list" allowBlank="1" showInputMessage="1" showErrorMessage="1" sqref="AR31:AV31" xr:uid="{00000000-0002-0000-0900-000002000000}">
      <formula1>$AS$36:$AS$40</formula1>
    </dataValidation>
  </dataValidations>
  <printOptions horizontalCentered="1"/>
  <pageMargins left="0" right="0" top="0.62992125984251968" bottom="0" header="0.31496062992125978" footer="0.31496062992125978"/>
  <pageSetup paperSize="9" scale="90" orientation="landscape" horizontalDpi="360" verticalDpi="360" r:id="rId1"/>
  <colBreaks count="1" manualBreakCount="1">
    <brk id="49" min="1" max="31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2060"/>
  </sheetPr>
  <dimension ref="A1:AD19"/>
  <sheetViews>
    <sheetView showGridLines="0" topLeftCell="A9" zoomScale="85" zoomScaleNormal="85" zoomScaleSheetLayoutView="85" workbookViewId="0">
      <pane xSplit="5" ySplit="4" topLeftCell="N13" activePane="bottomRight" state="frozen"/>
      <selection pane="topRight" activeCell="F9" sqref="F9"/>
      <selection pane="bottomLeft" activeCell="A13" sqref="A13"/>
      <selection pane="bottomRight" activeCell="B13" sqref="B13:E13"/>
    </sheetView>
  </sheetViews>
  <sheetFormatPr defaultColWidth="9.1328125" defaultRowHeight="14.25" x14ac:dyDescent="0.45"/>
  <cols>
    <col min="1" max="1" width="5.59765625" style="257" customWidth="1"/>
    <col min="2" max="2" width="14.19921875" style="257" customWidth="1"/>
    <col min="3" max="3" width="9.53125" style="257" customWidth="1"/>
    <col min="4" max="4" width="3.06640625" style="257" customWidth="1"/>
    <col min="5" max="5" width="3.19921875" style="257" customWidth="1"/>
    <col min="6" max="6" width="3.19921875" style="257" hidden="1" customWidth="1"/>
    <col min="7" max="8" width="11.3984375" style="257" hidden="1" customWidth="1"/>
    <col min="9" max="9" width="14.46484375" style="257" hidden="1" customWidth="1"/>
    <col min="10" max="10" width="15.86328125" style="260" hidden="1" customWidth="1"/>
    <col min="11" max="11" width="18.3984375" style="257" hidden="1" customWidth="1"/>
    <col min="12" max="16" width="15.86328125" style="256" customWidth="1"/>
    <col min="17" max="17" width="15.59765625" style="257" customWidth="1"/>
    <col min="18" max="18" width="12.86328125" style="257" bestFit="1" customWidth="1"/>
    <col min="19" max="19" width="12.86328125" style="257" customWidth="1"/>
    <col min="20" max="20" width="12.86328125" style="257" bestFit="1" customWidth="1"/>
    <col min="21" max="21" width="13.59765625" style="257" customWidth="1"/>
    <col min="22" max="22" width="11.1328125" style="257" customWidth="1"/>
    <col min="23" max="25" width="15.1328125" style="257" customWidth="1"/>
    <col min="26" max="26" width="12.86328125" style="257" bestFit="1" customWidth="1"/>
    <col min="27" max="27" width="12.19921875" style="257" bestFit="1" customWidth="1"/>
    <col min="28" max="28" width="12.86328125" style="257" bestFit="1" customWidth="1"/>
    <col min="29" max="29" width="12.19921875" style="257" bestFit="1" customWidth="1"/>
    <col min="30" max="30" width="13.3984375" style="257" bestFit="1" customWidth="1"/>
    <col min="31" max="32" width="14.59765625" style="257" bestFit="1" customWidth="1"/>
    <col min="33" max="33" width="9.1328125" style="257" customWidth="1"/>
    <col min="34" max="16384" width="9.1328125" style="257"/>
  </cols>
  <sheetData>
    <row r="1" spans="1:30" x14ac:dyDescent="0.45">
      <c r="A1" s="560"/>
      <c r="B1" s="385"/>
      <c r="C1" s="385"/>
      <c r="D1" s="385"/>
      <c r="E1" s="385"/>
      <c r="F1" s="385"/>
      <c r="G1" s="385"/>
      <c r="H1" s="385"/>
      <c r="I1" s="385"/>
      <c r="J1" s="385"/>
      <c r="K1" s="386"/>
    </row>
    <row r="2" spans="1:30" x14ac:dyDescent="0.45">
      <c r="A2" s="561"/>
      <c r="B2" s="562"/>
      <c r="C2" s="562"/>
      <c r="D2" s="562"/>
      <c r="E2" s="562"/>
      <c r="F2" s="562"/>
      <c r="G2" s="562"/>
      <c r="H2" s="562"/>
      <c r="I2" s="562"/>
      <c r="J2" s="563"/>
      <c r="K2" s="564"/>
    </row>
    <row r="3" spans="1:30" x14ac:dyDescent="0.45">
      <c r="A3" s="561"/>
      <c r="B3" s="562"/>
      <c r="C3" s="562"/>
      <c r="D3" s="562"/>
      <c r="E3" s="562"/>
      <c r="F3" s="562"/>
      <c r="G3" s="562"/>
      <c r="H3" s="562"/>
      <c r="I3" s="562"/>
      <c r="J3" s="563"/>
      <c r="K3" s="564"/>
    </row>
    <row r="4" spans="1:30" x14ac:dyDescent="0.45">
      <c r="A4" s="561"/>
      <c r="B4" s="562"/>
      <c r="C4" s="562"/>
      <c r="D4" s="562"/>
      <c r="E4" s="562"/>
      <c r="F4" s="562"/>
      <c r="G4" s="562"/>
      <c r="H4" s="562"/>
      <c r="I4" s="562"/>
      <c r="J4" s="563"/>
      <c r="K4" s="564"/>
    </row>
    <row r="5" spans="1:30" x14ac:dyDescent="0.45">
      <c r="A5" s="561"/>
      <c r="B5" s="562"/>
      <c r="C5" s="562"/>
      <c r="D5" s="562"/>
      <c r="E5" s="562"/>
      <c r="F5" s="562"/>
      <c r="G5" s="562"/>
      <c r="H5" s="562"/>
      <c r="I5" s="562"/>
      <c r="J5" s="563"/>
      <c r="K5" s="564"/>
    </row>
    <row r="6" spans="1:30" x14ac:dyDescent="0.45">
      <c r="A6" s="561"/>
      <c r="B6" s="562"/>
      <c r="C6" s="562"/>
      <c r="D6" s="562"/>
      <c r="E6" s="562"/>
      <c r="F6" s="562"/>
      <c r="G6" s="562"/>
      <c r="H6" s="562"/>
      <c r="I6" s="562"/>
      <c r="J6" s="563"/>
      <c r="K6" s="564"/>
    </row>
    <row r="7" spans="1:30" x14ac:dyDescent="0.45">
      <c r="A7" s="565"/>
      <c r="B7" s="413"/>
      <c r="C7" s="413"/>
      <c r="D7" s="413"/>
      <c r="E7" s="413"/>
      <c r="F7" s="413"/>
      <c r="G7" s="413"/>
      <c r="H7" s="413"/>
      <c r="I7" s="413"/>
      <c r="J7" s="413"/>
      <c r="K7" s="414"/>
    </row>
    <row r="8" spans="1:30" ht="21" customHeight="1" x14ac:dyDescent="0.45">
      <c r="A8" s="570" t="s">
        <v>29</v>
      </c>
      <c r="B8" s="382"/>
      <c r="C8" s="382"/>
      <c r="D8" s="382"/>
      <c r="E8" s="382"/>
      <c r="F8" s="382"/>
      <c r="G8" s="382"/>
      <c r="H8" s="382"/>
      <c r="I8" s="382"/>
      <c r="J8" s="382"/>
      <c r="K8" s="383"/>
    </row>
    <row r="9" spans="1:30" ht="33" customHeight="1" x14ac:dyDescent="0.45">
      <c r="A9" s="571" t="s">
        <v>377</v>
      </c>
      <c r="B9" s="382"/>
      <c r="C9" s="382"/>
      <c r="D9" s="382"/>
      <c r="E9" s="382"/>
      <c r="F9" s="382"/>
      <c r="G9" s="382"/>
      <c r="H9" s="382"/>
      <c r="I9" s="382"/>
      <c r="J9" s="382"/>
      <c r="K9" s="383"/>
      <c r="O9" s="258">
        <v>0.14000000000000001</v>
      </c>
    </row>
    <row r="10" spans="1:30" s="260" customFormat="1" ht="33" customHeight="1" x14ac:dyDescent="0.45">
      <c r="A10" s="566" t="s">
        <v>326</v>
      </c>
      <c r="B10" s="566" t="s">
        <v>10</v>
      </c>
      <c r="C10" s="385"/>
      <c r="D10" s="385"/>
      <c r="E10" s="386"/>
      <c r="F10" s="569" t="s">
        <v>378</v>
      </c>
      <c r="G10" s="566" t="s">
        <v>329</v>
      </c>
      <c r="H10" s="259"/>
      <c r="I10" s="259"/>
      <c r="J10" s="569" t="s">
        <v>379</v>
      </c>
      <c r="K10" s="569" t="s">
        <v>380</v>
      </c>
      <c r="L10" s="567" t="s">
        <v>381</v>
      </c>
      <c r="M10" s="569" t="s">
        <v>382</v>
      </c>
      <c r="N10" s="569" t="s">
        <v>383</v>
      </c>
      <c r="O10" s="567" t="s">
        <v>384</v>
      </c>
      <c r="P10" s="569" t="s">
        <v>385</v>
      </c>
      <c r="Q10" s="569" t="s">
        <v>386</v>
      </c>
      <c r="R10" s="576" t="s">
        <v>387</v>
      </c>
      <c r="S10" s="382"/>
      <c r="T10" s="382"/>
      <c r="U10" s="382"/>
      <c r="V10" s="382"/>
      <c r="W10" s="382"/>
      <c r="X10" s="382"/>
      <c r="Y10" s="383"/>
      <c r="Z10" s="569" t="s">
        <v>175</v>
      </c>
    </row>
    <row r="11" spans="1:30" s="260" customFormat="1" ht="63.75" customHeight="1" x14ac:dyDescent="0.45">
      <c r="A11" s="568"/>
      <c r="B11" s="565"/>
      <c r="C11" s="413"/>
      <c r="D11" s="413"/>
      <c r="E11" s="414"/>
      <c r="F11" s="568"/>
      <c r="G11" s="568"/>
      <c r="H11" s="259"/>
      <c r="I11" s="259"/>
      <c r="J11" s="568"/>
      <c r="K11" s="568"/>
      <c r="L11" s="568"/>
      <c r="M11" s="568"/>
      <c r="N11" s="568"/>
      <c r="O11" s="568"/>
      <c r="P11" s="568"/>
      <c r="Q11" s="568"/>
      <c r="R11" s="261" t="s">
        <v>388</v>
      </c>
      <c r="S11" s="261" t="s">
        <v>389</v>
      </c>
      <c r="T11" s="261" t="s">
        <v>390</v>
      </c>
      <c r="U11" s="261" t="s">
        <v>391</v>
      </c>
      <c r="V11" s="261" t="s">
        <v>392</v>
      </c>
      <c r="W11" s="262" t="s">
        <v>393</v>
      </c>
      <c r="X11" s="261" t="s">
        <v>394</v>
      </c>
      <c r="Y11" s="261" t="s">
        <v>395</v>
      </c>
      <c r="Z11" s="568"/>
    </row>
    <row r="12" spans="1:30" ht="23.45" customHeight="1" x14ac:dyDescent="0.45">
      <c r="A12" s="263" t="s">
        <v>396</v>
      </c>
      <c r="B12" s="573" t="s">
        <v>355</v>
      </c>
      <c r="C12" s="382"/>
      <c r="D12" s="382"/>
      <c r="E12" s="383"/>
      <c r="F12" s="264"/>
      <c r="G12" s="264"/>
      <c r="H12" s="264"/>
      <c r="I12" s="264"/>
      <c r="J12" s="265"/>
      <c r="K12" s="266"/>
      <c r="L12" s="267" t="s">
        <v>397</v>
      </c>
      <c r="M12" s="267" t="s">
        <v>398</v>
      </c>
      <c r="N12" s="267"/>
      <c r="O12" s="267" t="s">
        <v>399</v>
      </c>
      <c r="P12" s="267" t="s">
        <v>50</v>
      </c>
      <c r="Q12" s="268"/>
      <c r="R12" s="268" t="s">
        <v>400</v>
      </c>
      <c r="S12" s="268" t="s">
        <v>401</v>
      </c>
      <c r="T12" s="268" t="s">
        <v>40</v>
      </c>
      <c r="U12" s="267" t="s">
        <v>402</v>
      </c>
      <c r="V12" s="267" t="s">
        <v>402</v>
      </c>
      <c r="W12" s="267" t="s">
        <v>403</v>
      </c>
      <c r="X12" s="267" t="s">
        <v>404</v>
      </c>
      <c r="Y12" s="267" t="s">
        <v>404</v>
      </c>
      <c r="Z12" s="269"/>
      <c r="AA12" s="270" t="s">
        <v>405</v>
      </c>
      <c r="AB12" s="270" t="s">
        <v>406</v>
      </c>
      <c r="AC12" s="270" t="s">
        <v>407</v>
      </c>
      <c r="AD12" s="270" t="s">
        <v>408</v>
      </c>
    </row>
    <row r="13" spans="1:30" ht="14.45" customHeight="1" x14ac:dyDescent="0.45">
      <c r="A13" s="271">
        <v>1</v>
      </c>
      <c r="B13" s="574" t="s">
        <v>409</v>
      </c>
      <c r="C13" s="382"/>
      <c r="D13" s="382"/>
      <c r="E13" s="383"/>
      <c r="F13" s="255">
        <v>36</v>
      </c>
      <c r="G13" s="271" t="s">
        <v>410</v>
      </c>
      <c r="H13" s="272">
        <f>J13-I13</f>
        <v>0</v>
      </c>
      <c r="I13" s="273">
        <v>131224000</v>
      </c>
      <c r="J13" s="274">
        <f>L13</f>
        <v>131224000</v>
      </c>
      <c r="K13" s="275">
        <f>F13*J13</f>
        <v>4724064000</v>
      </c>
      <c r="L13" s="276">
        <f>M13+Q13</f>
        <v>131224000</v>
      </c>
      <c r="M13" s="276">
        <f>ROUNDUP(O13+P13,-3)+N13</f>
        <v>108889000</v>
      </c>
      <c r="N13" s="276">
        <v>10713000</v>
      </c>
      <c r="O13" s="276">
        <f>ROUNDUP(P13*$O$9,-3)</f>
        <v>12057000</v>
      </c>
      <c r="P13" s="276">
        <f>Z13</f>
        <v>86118034</v>
      </c>
      <c r="Q13" s="277">
        <v>22335000</v>
      </c>
      <c r="R13" s="278">
        <v>45600000</v>
      </c>
      <c r="S13" s="278">
        <v>14043000</v>
      </c>
      <c r="T13" s="277">
        <v>15693784</v>
      </c>
      <c r="U13" s="277">
        <v>687500</v>
      </c>
      <c r="V13" s="277">
        <v>758750</v>
      </c>
      <c r="W13" s="278">
        <v>1263888.888888889</v>
      </c>
      <c r="X13" s="278">
        <v>6210000</v>
      </c>
      <c r="Y13" s="278">
        <v>1861111.111111111</v>
      </c>
      <c r="Z13" s="279">
        <f>SUM(R13:Y13)</f>
        <v>86118034</v>
      </c>
      <c r="AA13" s="280">
        <f>SUM(S13:Y13)</f>
        <v>40518034</v>
      </c>
      <c r="AB13" s="280">
        <f>ROUNDUP((AA13*$O$9)+AA13,-3)</f>
        <v>46191000</v>
      </c>
      <c r="AC13" s="280">
        <f>R13</f>
        <v>45600000</v>
      </c>
      <c r="AD13" s="281">
        <f>ROUNDUP((AC13*$O$9)+AC13,-3)</f>
        <v>51984000</v>
      </c>
    </row>
    <row r="14" spans="1:30" ht="14.45" customHeight="1" x14ac:dyDescent="0.45">
      <c r="A14" s="271">
        <v>2</v>
      </c>
      <c r="B14" s="574" t="s">
        <v>411</v>
      </c>
      <c r="C14" s="382"/>
      <c r="D14" s="382"/>
      <c r="E14" s="383"/>
      <c r="F14" s="255">
        <v>36</v>
      </c>
      <c r="G14" s="271" t="s">
        <v>410</v>
      </c>
      <c r="H14" s="272">
        <f>J14-I14</f>
        <v>0</v>
      </c>
      <c r="I14" s="273">
        <v>62818000</v>
      </c>
      <c r="J14" s="274">
        <f>L14</f>
        <v>62818000</v>
      </c>
      <c r="K14" s="275">
        <f>F14*J14</f>
        <v>2261448000</v>
      </c>
      <c r="L14" s="276">
        <f>M14+Q14</f>
        <v>62818000</v>
      </c>
      <c r="M14" s="276">
        <f>ROUNDUP(O14+P14,-3)+N14</f>
        <v>43567000</v>
      </c>
      <c r="N14" s="276">
        <v>0</v>
      </c>
      <c r="O14" s="276">
        <f>ROUNDUP(P14*$O$9,-3)</f>
        <v>5351000</v>
      </c>
      <c r="P14" s="276">
        <f>Z14</f>
        <v>38215883.999999993</v>
      </c>
      <c r="Q14" s="277">
        <v>19251000</v>
      </c>
      <c r="R14" s="278">
        <v>7600000</v>
      </c>
      <c r="S14" s="278">
        <v>10013000</v>
      </c>
      <c r="T14" s="277">
        <v>11491217.33333333</v>
      </c>
      <c r="U14" s="277">
        <v>458333.33333333331</v>
      </c>
      <c r="V14" s="277">
        <v>505833.33333333331</v>
      </c>
      <c r="W14" s="278">
        <v>333333.33333333337</v>
      </c>
      <c r="X14" s="278">
        <v>6210000</v>
      </c>
      <c r="Y14" s="278">
        <v>1604166.666666667</v>
      </c>
      <c r="Z14" s="279">
        <f>SUM(R14:Y14)</f>
        <v>38215883.999999993</v>
      </c>
      <c r="AA14" s="280">
        <f>SUM(S14:Y14)</f>
        <v>30615883.999999993</v>
      </c>
      <c r="AB14" s="280">
        <f>ROUNDUP((AA14*$O$9)+AA14,-3)</f>
        <v>34903000</v>
      </c>
      <c r="AC14" s="280">
        <f>R14</f>
        <v>7600000</v>
      </c>
      <c r="AD14" s="281">
        <f>ROUNDUP((AC14*$O$9)+AC14,-3)</f>
        <v>8664000</v>
      </c>
    </row>
    <row r="15" spans="1:30" ht="14.45" customHeight="1" x14ac:dyDescent="0.45">
      <c r="A15" s="271">
        <v>3</v>
      </c>
      <c r="B15" s="574" t="s">
        <v>412</v>
      </c>
      <c r="C15" s="382"/>
      <c r="D15" s="382"/>
      <c r="E15" s="383"/>
      <c r="F15" s="282">
        <v>36</v>
      </c>
      <c r="G15" s="271" t="s">
        <v>410</v>
      </c>
      <c r="H15" s="272">
        <f>J15-I15</f>
        <v>0</v>
      </c>
      <c r="I15" s="273">
        <v>189241000</v>
      </c>
      <c r="J15" s="274">
        <f>L15</f>
        <v>189241000</v>
      </c>
      <c r="K15" s="275">
        <f>F15*J15</f>
        <v>6812676000</v>
      </c>
      <c r="L15" s="276">
        <f>M15+Q15</f>
        <v>189241000</v>
      </c>
      <c r="M15" s="276">
        <f>ROUNDUP(O15+P15,-3)+N15</f>
        <v>88574000</v>
      </c>
      <c r="N15" s="276">
        <v>15449000</v>
      </c>
      <c r="O15" s="276">
        <f>ROUNDUP(P15*$O$9,-3)</f>
        <v>8981000</v>
      </c>
      <c r="P15" s="276">
        <f>Z15</f>
        <v>64143694</v>
      </c>
      <c r="Q15" s="277">
        <v>100667000</v>
      </c>
      <c r="R15" s="278">
        <v>15200000</v>
      </c>
      <c r="S15" s="278">
        <v>14663000</v>
      </c>
      <c r="T15" s="277">
        <v>16849444</v>
      </c>
      <c r="U15" s="277">
        <v>687500</v>
      </c>
      <c r="V15" s="277">
        <v>758750</v>
      </c>
      <c r="W15" s="278">
        <v>1386111.111111111</v>
      </c>
      <c r="X15" s="278">
        <v>6210000</v>
      </c>
      <c r="Y15" s="278">
        <v>8388888.8888888899</v>
      </c>
      <c r="Z15" s="279">
        <f>SUM(R15:Y15)</f>
        <v>64143694</v>
      </c>
      <c r="AA15" s="280">
        <f>SUM(S15:Y15)</f>
        <v>48943694</v>
      </c>
      <c r="AB15" s="280">
        <f>ROUNDUP((AA15*$O$9)+AA15,-3)</f>
        <v>55796000</v>
      </c>
      <c r="AC15" s="280">
        <f>R15</f>
        <v>15200000</v>
      </c>
      <c r="AD15" s="281">
        <f>ROUNDUP((AC15*$O$9)+AC15,-3)</f>
        <v>17328000</v>
      </c>
    </row>
    <row r="16" spans="1:30" ht="14.45" customHeight="1" x14ac:dyDescent="0.45">
      <c r="A16" s="271">
        <v>4</v>
      </c>
      <c r="B16" s="574" t="s">
        <v>413</v>
      </c>
      <c r="C16" s="382"/>
      <c r="D16" s="382"/>
      <c r="E16" s="383"/>
      <c r="F16" s="255">
        <v>36</v>
      </c>
      <c r="G16" s="271" t="s">
        <v>410</v>
      </c>
      <c r="H16" s="272">
        <f>J16-I16</f>
        <v>0</v>
      </c>
      <c r="I16" s="273">
        <v>75538000</v>
      </c>
      <c r="J16" s="274">
        <f>L16</f>
        <v>75538000</v>
      </c>
      <c r="K16" s="275">
        <f>F16*J16</f>
        <v>2719368000</v>
      </c>
      <c r="L16" s="276">
        <f>M16+Q16</f>
        <v>75538000</v>
      </c>
      <c r="M16" s="276">
        <f>ROUNDUP(O16+P16,-3)+N16</f>
        <v>60204000</v>
      </c>
      <c r="N16" s="276">
        <v>0</v>
      </c>
      <c r="O16" s="276">
        <f>ROUNDUP(P16*$O$9,-3)</f>
        <v>7394000</v>
      </c>
      <c r="P16" s="276">
        <f>Z16</f>
        <v>52809495.111111112</v>
      </c>
      <c r="Q16" s="277">
        <v>15334000</v>
      </c>
      <c r="R16" s="278">
        <v>22800000</v>
      </c>
      <c r="S16" s="278">
        <v>9858000</v>
      </c>
      <c r="T16" s="277">
        <v>11491217.33333333</v>
      </c>
      <c r="U16" s="277">
        <v>458333.33333333331</v>
      </c>
      <c r="V16" s="277">
        <v>505833.33333333331</v>
      </c>
      <c r="W16" s="278">
        <v>208333.33333333331</v>
      </c>
      <c r="X16" s="278">
        <v>6210000</v>
      </c>
      <c r="Y16" s="278">
        <v>1277777.777777778</v>
      </c>
      <c r="Z16" s="279">
        <f>SUM(R16:Y16)</f>
        <v>52809495.111111112</v>
      </c>
      <c r="AA16" s="280">
        <f>SUM(S16:Y16)</f>
        <v>30009495.111111104</v>
      </c>
      <c r="AB16" s="280">
        <f>ROUNDUP((AA16*$O$9)+AA16,-3)</f>
        <v>34211000</v>
      </c>
      <c r="AC16" s="280">
        <f>R16</f>
        <v>22800000</v>
      </c>
      <c r="AD16" s="281">
        <f>ROUNDUP((AC16*$O$9)+AC16,-3)</f>
        <v>25992000</v>
      </c>
    </row>
    <row r="17" spans="1:30" ht="14.45" customHeight="1" x14ac:dyDescent="0.45">
      <c r="A17" s="271">
        <v>5</v>
      </c>
      <c r="B17" s="575" t="s">
        <v>414</v>
      </c>
      <c r="C17" s="382"/>
      <c r="D17" s="382"/>
      <c r="E17" s="383"/>
      <c r="F17" s="255">
        <v>36</v>
      </c>
      <c r="G17" s="271" t="s">
        <v>410</v>
      </c>
      <c r="H17" s="272">
        <f>J17-I17</f>
        <v>0</v>
      </c>
      <c r="I17" s="273">
        <v>78225000</v>
      </c>
      <c r="J17" s="274">
        <f>L17</f>
        <v>78225000</v>
      </c>
      <c r="K17" s="275">
        <f>F17*J17</f>
        <v>2816100000</v>
      </c>
      <c r="L17" s="276">
        <f>M17+Q17</f>
        <v>78225000</v>
      </c>
      <c r="M17" s="276">
        <f>ROUNDUP(O17+P17,-3)+N17</f>
        <v>58357000</v>
      </c>
      <c r="N17" s="276">
        <v>6386000</v>
      </c>
      <c r="O17" s="276">
        <f>ROUNDUP(P17*$O$9,-3)</f>
        <v>6383000</v>
      </c>
      <c r="P17" s="276">
        <f>Z17</f>
        <v>45587272.888888896</v>
      </c>
      <c r="Q17" s="283">
        <v>19868000</v>
      </c>
      <c r="R17" s="278">
        <v>15200000</v>
      </c>
      <c r="S17" s="278">
        <v>9858000</v>
      </c>
      <c r="T17" s="277">
        <v>11491217.33333333</v>
      </c>
      <c r="U17" s="277">
        <v>458333.33333333331</v>
      </c>
      <c r="V17" s="277">
        <v>505833.33333333331</v>
      </c>
      <c r="W17" s="278">
        <v>208333.33333333331</v>
      </c>
      <c r="X17" s="278">
        <v>6210000</v>
      </c>
      <c r="Y17" s="278">
        <v>1655555.555555556</v>
      </c>
      <c r="Z17" s="279">
        <f>SUM(R17:Y17)</f>
        <v>45587272.888888896</v>
      </c>
      <c r="AA17" s="280">
        <f>SUM(S17:Y17)</f>
        <v>30387272.888888881</v>
      </c>
      <c r="AB17" s="280">
        <f>ROUNDUP((AA17*$O$9)+AA17,-3)</f>
        <v>34642000</v>
      </c>
      <c r="AC17" s="280">
        <f>R17</f>
        <v>15200000</v>
      </c>
      <c r="AD17" s="281">
        <f>ROUNDUP((AC17*$O$9)+AC17,-3)</f>
        <v>17328000</v>
      </c>
    </row>
    <row r="18" spans="1:30" x14ac:dyDescent="0.45">
      <c r="A18" s="284"/>
      <c r="B18" s="572" t="s">
        <v>415</v>
      </c>
      <c r="C18" s="382"/>
      <c r="D18" s="382"/>
      <c r="E18" s="383"/>
      <c r="F18" s="285"/>
      <c r="G18" s="286"/>
      <c r="H18" s="286"/>
      <c r="I18" s="286"/>
      <c r="J18" s="287"/>
      <c r="K18" s="288">
        <f>SUM(K13:K17)</f>
        <v>19333656000</v>
      </c>
      <c r="L18" s="280">
        <f>SUM(L13:L17)</f>
        <v>537046000</v>
      </c>
      <c r="M18" s="280">
        <f>SUM(M13:M17)</f>
        <v>359591000</v>
      </c>
      <c r="N18" s="280"/>
      <c r="O18" s="280">
        <f t="shared" ref="O18:AD18" si="0">SUM(O13:O17)</f>
        <v>40166000</v>
      </c>
      <c r="P18" s="280">
        <f t="shared" si="0"/>
        <v>286874380</v>
      </c>
      <c r="Q18" s="280">
        <f t="shared" si="0"/>
        <v>177455000</v>
      </c>
      <c r="R18" s="280">
        <f t="shared" si="0"/>
        <v>106400000</v>
      </c>
      <c r="S18" s="280">
        <f t="shared" si="0"/>
        <v>58435000</v>
      </c>
      <c r="T18" s="280">
        <f t="shared" si="0"/>
        <v>67016879.999999985</v>
      </c>
      <c r="U18" s="280">
        <f t="shared" si="0"/>
        <v>2750000</v>
      </c>
      <c r="V18" s="280">
        <f t="shared" si="0"/>
        <v>3035000</v>
      </c>
      <c r="W18" s="280">
        <f t="shared" si="0"/>
        <v>3400000.0000000005</v>
      </c>
      <c r="X18" s="280">
        <f t="shared" si="0"/>
        <v>31050000</v>
      </c>
      <c r="Y18" s="280">
        <f t="shared" si="0"/>
        <v>14787500.000000002</v>
      </c>
      <c r="Z18" s="280">
        <f t="shared" si="0"/>
        <v>286874380</v>
      </c>
      <c r="AA18" s="280">
        <f t="shared" si="0"/>
        <v>180474380</v>
      </c>
      <c r="AB18" s="280">
        <f t="shared" si="0"/>
        <v>205743000</v>
      </c>
      <c r="AC18" s="280">
        <f t="shared" si="0"/>
        <v>106400000</v>
      </c>
      <c r="AD18" s="280">
        <f t="shared" si="0"/>
        <v>121296000</v>
      </c>
    </row>
    <row r="19" spans="1:30" ht="9" customHeight="1" x14ac:dyDescent="0.45">
      <c r="A19" s="259"/>
      <c r="B19" s="289"/>
      <c r="C19" s="290"/>
      <c r="D19" s="290"/>
      <c r="E19" s="291"/>
      <c r="F19" s="292"/>
      <c r="G19" s="293"/>
      <c r="H19" s="293"/>
      <c r="I19" s="293"/>
      <c r="J19" s="294"/>
      <c r="K19" s="295"/>
      <c r="R19" s="280">
        <v>0</v>
      </c>
      <c r="S19" s="280">
        <v>0</v>
      </c>
      <c r="T19" s="280">
        <v>0</v>
      </c>
      <c r="U19" s="280">
        <v>0</v>
      </c>
      <c r="V19" s="280">
        <v>0</v>
      </c>
      <c r="W19" s="280">
        <v>0</v>
      </c>
      <c r="X19" s="280"/>
      <c r="Y19" s="280"/>
    </row>
  </sheetData>
  <mergeCells count="24">
    <mergeCell ref="B18:E18"/>
    <mergeCell ref="Z10:Z11"/>
    <mergeCell ref="B12:E12"/>
    <mergeCell ref="A10:A11"/>
    <mergeCell ref="B14:E14"/>
    <mergeCell ref="K10:K11"/>
    <mergeCell ref="B17:E17"/>
    <mergeCell ref="O10:O11"/>
    <mergeCell ref="B13:E13"/>
    <mergeCell ref="F10:F11"/>
    <mergeCell ref="J10:J11"/>
    <mergeCell ref="B16:E16"/>
    <mergeCell ref="P10:P11"/>
    <mergeCell ref="B15:E15"/>
    <mergeCell ref="R10:Y10"/>
    <mergeCell ref="Q10:Q11"/>
    <mergeCell ref="A1:K7"/>
    <mergeCell ref="B10:E11"/>
    <mergeCell ref="L10:L11"/>
    <mergeCell ref="N10:N11"/>
    <mergeCell ref="A8:K8"/>
    <mergeCell ref="A9:K9"/>
    <mergeCell ref="G10:G11"/>
    <mergeCell ref="M10:M11"/>
  </mergeCells>
  <printOptions horizontalCentered="1"/>
  <pageMargins left="0.47244094488188981" right="0.27559055118110237" top="0.43307086614173229" bottom="0.43307086614173229" header="0.31496062992125978" footer="0.31496062992125978"/>
  <pageSetup paperSize="9" scale="60" fitToHeight="11" orientation="portrait"/>
  <colBreaks count="1" manualBreakCount="1">
    <brk id="11" max="4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selection activeCell="B1" sqref="B1"/>
    </sheetView>
  </sheetViews>
  <sheetFormatPr defaultRowHeight="14.25" x14ac:dyDescent="0.45"/>
  <cols>
    <col min="2" max="2" width="96.59765625" customWidth="1"/>
    <col min="3" max="3" width="106.1328125" customWidth="1"/>
  </cols>
  <sheetData>
    <row r="1" spans="1:5" x14ac:dyDescent="0.45">
      <c r="A1" t="s">
        <v>41</v>
      </c>
      <c r="B1" t="s">
        <v>44</v>
      </c>
      <c r="C1" t="s">
        <v>53</v>
      </c>
      <c r="D1" t="s">
        <v>66</v>
      </c>
      <c r="E1" t="s">
        <v>77</v>
      </c>
    </row>
    <row r="2" spans="1:5" x14ac:dyDescent="0.45">
      <c r="A2" t="s">
        <v>51</v>
      </c>
      <c r="B2" t="s">
        <v>46</v>
      </c>
      <c r="C2" t="s">
        <v>55</v>
      </c>
      <c r="D2" t="s">
        <v>69</v>
      </c>
    </row>
    <row r="3" spans="1:5" x14ac:dyDescent="0.45">
      <c r="A3" t="s">
        <v>64</v>
      </c>
      <c r="B3" t="s">
        <v>47</v>
      </c>
      <c r="C3" t="s">
        <v>56</v>
      </c>
      <c r="D3" t="s">
        <v>70</v>
      </c>
    </row>
    <row r="4" spans="1:5" x14ac:dyDescent="0.45">
      <c r="A4" t="s">
        <v>75</v>
      </c>
      <c r="B4" t="s">
        <v>48</v>
      </c>
      <c r="C4" t="s">
        <v>57</v>
      </c>
      <c r="D4" t="s">
        <v>71</v>
      </c>
    </row>
    <row r="5" spans="1:5" x14ac:dyDescent="0.45">
      <c r="B5" t="s">
        <v>49</v>
      </c>
      <c r="C5" t="s">
        <v>58</v>
      </c>
      <c r="D5" t="s">
        <v>72</v>
      </c>
    </row>
    <row r="6" spans="1:5" x14ac:dyDescent="0.45">
      <c r="C6" t="s">
        <v>59</v>
      </c>
      <c r="D6" t="s">
        <v>73</v>
      </c>
    </row>
    <row r="7" spans="1:5" x14ac:dyDescent="0.45">
      <c r="C7" t="s">
        <v>60</v>
      </c>
    </row>
    <row r="8" spans="1:5" x14ac:dyDescent="0.45">
      <c r="C8" t="s">
        <v>61</v>
      </c>
    </row>
    <row r="9" spans="1:5" x14ac:dyDescent="0.45">
      <c r="C9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MASTER</vt:lpstr>
      <vt:lpstr>Input</vt:lpstr>
      <vt:lpstr>WCC Form</vt:lpstr>
      <vt:lpstr>Performa Invoice</vt:lpstr>
      <vt:lpstr>Opname</vt:lpstr>
      <vt:lpstr>Rincian Pek</vt:lpstr>
      <vt:lpstr>TKDN</vt:lpstr>
      <vt:lpstr>BAMP</vt:lpstr>
      <vt:lpstr>BASP</vt:lpstr>
      <vt:lpstr>Heavy Equipment</vt:lpstr>
      <vt:lpstr>Rekap biaya</vt:lpstr>
      <vt:lpstr>Helper</vt:lpstr>
      <vt:lpstr>BAMP!Print_Area</vt:lpstr>
      <vt:lpstr>BASP!Print_Area</vt:lpstr>
      <vt:lpstr>'Heavy Equipment'!Print_Area</vt:lpstr>
      <vt:lpstr>Opname!Print_Area</vt:lpstr>
      <vt:lpstr>'Performa Invoice'!Print_Area</vt:lpstr>
      <vt:lpstr>'Rekap biaya'!Print_Area</vt:lpstr>
      <vt:lpstr>'Rincian Pek'!Print_Area</vt:lpstr>
      <vt:lpstr>TKDN!Print_Area</vt:lpstr>
      <vt:lpstr>'WCC Form'!Print_Area</vt:lpstr>
      <vt:lpstr>'Rekap biaya'!Print_Titles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cp:lastPrinted>2026-07-24T00:45:38Z</cp:lastPrinted>
  <dcterms:created xsi:type="dcterms:W3CDTF">2026-07-18T06:07:36Z</dcterms:created>
  <dcterms:modified xsi:type="dcterms:W3CDTF">2026-08-14T22:22:01Z</dcterms:modified>
</cp:coreProperties>
</file>